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2de40972541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RAI_v1_Protocol" sheetId="1" r:id="R77dfbf08c6c24f48"/>
    <x:sheet xmlns:r="http://schemas.openxmlformats.org/officeDocument/2006/relationships" name="LRAI_v1_Scoring" sheetId="2" r:id="Rf3aad9b4174b417b"/>
    <x:sheet xmlns:r="http://schemas.openxmlformats.org/officeDocument/2006/relationships" name="Script_Coding_Audit" sheetId="3" r:id="R8a3cdccfb52f4dcd"/>
    <x:sheet xmlns:r="http://schemas.openxmlformats.org/officeDocument/2006/relationships" name="LRAI_v1_Summary" sheetId="4" r:id="R89ad316ac15b46cd"/>
    <x:sheet xmlns:r="http://schemas.openxmlformats.org/officeDocument/2006/relationships" name="LRAI_v1_Validation" sheetId="5" r:id="R9a7f96ad275c4952"/>
    <x:sheet xmlns:r="http://schemas.openxmlformats.org/officeDocument/2006/relationships" name="LOO_Rank_Stability" sheetId="6" r:id="R9a1232a7a3204458"/>
    <x:sheet xmlns:r="http://schemas.openxmlformats.org/officeDocument/2006/relationships" name="Freeze_Decision" sheetId="7" r:id="R1c1ae4f0f47f4f0e"/>
    <x:sheet xmlns:r="http://schemas.openxmlformats.org/officeDocument/2006/relationships" name="Sindhi_Primary_Evidence" sheetId="8" r:id="R701c2bc8b35d4c00"/>
    <x:sheet xmlns:r="http://schemas.openxmlformats.org/officeDocument/2006/relationships" name="Script_Sensitivity" sheetId="9" r:id="Redfb8014321f4ea3"/>
    <x:sheet xmlns:r="http://schemas.openxmlformats.org/officeDocument/2006/relationships" name="LRAI_Final_Method_Decision" sheetId="10" r:id="R5844fff02c234138"/>
    <x:sheet xmlns:r="http://schemas.openxmlformats.org/officeDocument/2006/relationships" name="LRAI6_and_SCSI" sheetId="11" r:id="Rea204bc6763a40cb"/>
    <x:sheet xmlns:r="http://schemas.openxmlformats.org/officeDocument/2006/relationships" name="SCSI_Evidence_Protocol" sheetId="12" r:id="Rcbf03db548b94762"/>
    <x:sheet xmlns:r="http://schemas.openxmlformats.org/officeDocument/2006/relationships" name="Frozen_Specification_Candidate" sheetId="13" r:id="Rf04d700c46b443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43cbcfc2b64f07" /><Relationship Type="http://schemas.openxmlformats.org/officeDocument/2006/relationships/theme" Target="/xl/theme/theme1.xml" Id="R046f6fc80f374a66" /><Relationship Type="http://schemas.openxmlformats.org/officeDocument/2006/relationships/sharedStrings" Target="/xl/sharedStrings.xml" Id="Rb2761c0f20ae495a" /><Relationship Type="http://schemas.openxmlformats.org/officeDocument/2006/relationships/worksheet" Target="/xl/worksheets/sheet1.xml" Id="R77dfbf08c6c24f48" /><Relationship Type="http://schemas.openxmlformats.org/officeDocument/2006/relationships/worksheet" Target="/xl/worksheets/sheet2.xml" Id="Rf3aad9b4174b417b" /><Relationship Type="http://schemas.openxmlformats.org/officeDocument/2006/relationships/worksheet" Target="/xl/worksheets/sheet3.xml" Id="R8a3cdccfb52f4dcd" /><Relationship Type="http://schemas.openxmlformats.org/officeDocument/2006/relationships/worksheet" Target="/xl/worksheets/sheet4.xml" Id="R89ad316ac15b46cd" /><Relationship Type="http://schemas.openxmlformats.org/officeDocument/2006/relationships/worksheet" Target="/xl/worksheets/sheet5.xml" Id="R9a7f96ad275c4952" /><Relationship Type="http://schemas.openxmlformats.org/officeDocument/2006/relationships/worksheet" Target="/xl/worksheets/sheet6.xml" Id="R9a1232a7a3204458" /><Relationship Type="http://schemas.openxmlformats.org/officeDocument/2006/relationships/worksheet" Target="/xl/worksheets/sheet7.xml" Id="R1c1ae4f0f47f4f0e" /><Relationship Type="http://schemas.openxmlformats.org/officeDocument/2006/relationships/worksheet" Target="/xl/worksheets/sheet8.xml" Id="R701c2bc8b35d4c00" /><Relationship Type="http://schemas.openxmlformats.org/officeDocument/2006/relationships/worksheet" Target="/xl/worksheets/sheet9.xml" Id="Redfb8014321f4ea3" /><Relationship Type="http://schemas.openxmlformats.org/officeDocument/2006/relationships/worksheet" Target="/xl/worksheets/sheet10.xml" Id="R5844fff02c234138" /><Relationship Type="http://schemas.openxmlformats.org/officeDocument/2006/relationships/worksheet" Target="/xl/worksheets/sheet11.xml" Id="Rea204bc6763a40cb" /><Relationship Type="http://schemas.openxmlformats.org/officeDocument/2006/relationships/worksheet" Target="/xl/worksheets/sheet12.xml" Id="Rcbf03db548b94762" /><Relationship Type="http://schemas.openxmlformats.org/officeDocument/2006/relationships/worksheet" Target="/xl/worksheets/sheet13.xml" Id="Rf04d700c46b443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7c4fa8750d4b4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bccf42806b747e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256e88a282c4b6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9dc4a49a7f0d4c0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Provisional LRAI — Equal-Weight Aggregate Variant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code</c:v>
          </c:tx>
          <c:cat>
            <c:strRef>
              <c:f>'LRAI_v1_Summary'!$A$2:$A$10</c:f>
              <c:strCache>
                <c:ptCount val="0"/>
              </c:strCache>
            </c:strRef>
          </c:cat>
          <c:val>
            <c:numRef>
              <c:f>'LRAI_v1_Summary'!$B$2:$B$10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equal_weight_primary</c:v>
          </c:tx>
          <c:cat>
            <c:strRef>
              <c:f>'LRAI_v1_Summary'!$A$2:$A$10</c:f>
              <c:strCache>
                <c:ptCount val="0"/>
              </c:strCache>
            </c:strRef>
          </c:cat>
          <c:val>
            <c:numRef>
              <c:f>'LRAI_v1_Summary'!$C$2:$C$10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equal_weight_aggregate</c:v>
          </c:tx>
          <c:cat>
            <c:strRef>
              <c:f>'LRAI_v1_Summary'!$A$2:$A$10</c:f>
              <c:strCache>
                <c:ptCount val="0"/>
              </c:strCache>
            </c:strRef>
          </c:cat>
          <c:val>
            <c:numRef>
              <c:f>'LRAI_v1_Summary'!$D$2:$D$10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Primary vs Aggregate LRAI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code</c:v>
          </c:tx>
          <c:cat>
            <c:strRef>
              <c:f>'LRAI_v1_Validation'!$A$2:$A$10</c:f>
              <c:strCache>
                <c:ptCount val="0"/>
              </c:strCache>
            </c:strRef>
          </c:cat>
          <c:val>
            <c:numRef>
              <c:f>'LRAI_v1_Validation'!$B$2:$B$10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primary_LRAI</c:v>
          </c:tx>
          <c:cat>
            <c:strRef>
              <c:f>'LRAI_v1_Validation'!$A$2:$A$10</c:f>
              <c:strCache>
                <c:ptCount val="0"/>
              </c:strCache>
            </c:strRef>
          </c:cat>
          <c:val>
            <c:numRef>
              <c:f>'LRAI_v1_Validation'!$C$2:$C$10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aggregate_LRAI</c:v>
          </c:tx>
          <c:cat>
            <c:strRef>
              <c:f>'LRAI_v1_Validation'!$A$2:$A$10</c:f>
              <c:strCache>
                <c:ptCount val="0"/>
              </c:strCache>
            </c:strRef>
          </c:cat>
          <c:val>
            <c:numRef>
              <c:f>'LRAI_v1_Validation'!$D$2:$D$10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Script-Support Sensitivity: LRAI Variants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code</c:v>
          </c:tx>
          <c:cat>
            <c:strRef>
              <c:f>'Script_Sensitivity'!$A$2:$A$10</c:f>
              <c:strCache>
                <c:ptCount val="0"/>
              </c:strCache>
            </c:strRef>
          </c:cat>
          <c:val>
            <c:numRef>
              <c:f>'Script_Sensitivity'!$B$2:$B$10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base_LRAI</c:v>
          </c:tx>
          <c:cat>
            <c:strRef>
              <c:f>'Script_Sensitivity'!$A$2:$A$10</c:f>
              <c:strCache>
                <c:ptCount val="0"/>
              </c:strCache>
            </c:strRef>
          </c:cat>
          <c:val>
            <c:numRef>
              <c:f>'Script_Sensitivity'!$C$2:$C$10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base_rank</c:v>
          </c:tx>
          <c:cat>
            <c:strRef>
              <c:f>'Script_Sensitivity'!$A$2:$A$10</c:f>
              <c:strCache>
                <c:ptCount val="0"/>
              </c:strCache>
            </c:strRef>
          </c:cat>
          <c:val>
            <c:numRef>
              <c:f>'Script_Sensitivity'!$D$2:$D$10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no_script_LRAI</c:v>
          </c:tx>
          <c:cat>
            <c:strRef>
              <c:f>'Script_Sensitivity'!$A$2:$A$10</c:f>
              <c:strCache>
                <c:ptCount val="0"/>
              </c:strCache>
            </c:strRef>
          </c:cat>
          <c:val>
            <c:numRef>
              <c:f>'Script_Sensitivity'!$E$2:$E$10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no_script_rank</c:v>
          </c:tx>
          <c:cat>
            <c:strRef>
              <c:f>'Script_Sensitivity'!$A$2:$A$10</c:f>
              <c:strCache>
                <c:ptCount val="0"/>
              </c:strCache>
            </c:strRef>
          </c:cat>
          <c:val>
            <c:numRef>
              <c:f>'Script_Sensitivity'!$F$2:$F$10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binary_script_score</c:v>
          </c:tx>
          <c:cat>
            <c:strRef>
              <c:f>'Script_Sensitivity'!$A$2:$A$10</c:f>
              <c:strCache>
                <c:ptCount val="0"/>
              </c:strCache>
            </c:strRef>
          </c:cat>
          <c:val>
            <c:numRef>
              <c:f>'Script_Sensitivity'!$G$2:$G$10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binary_script_LRAI</c:v>
          </c:tx>
          <c:cat>
            <c:strRef>
              <c:f>'Script_Sensitivity'!$A$2:$A$10</c:f>
              <c:strCache>
                <c:ptCount val="0"/>
              </c:strCache>
            </c:strRef>
          </c:cat>
          <c:val>
            <c:numRef>
              <c:f>'Script_Sensitivity'!$H$2:$H$10</c:f>
              <c:numCache>
                <c:formatCode>0.000</c:formatCode>
                <c:ptCount val="0"/>
              </c:numCache>
            </c:numRef>
          </c:val>
        </c:ser>
        <c:ser>
          <c:idx val="7"/>
          <c:order val="7"/>
          <c:tx>
            <c:v>binary_rank</c:v>
          </c:tx>
          <c:cat>
            <c:strRef>
              <c:f>'Script_Sensitivity'!$A$2:$A$10</c:f>
              <c:strCache>
                <c:ptCount val="0"/>
              </c:strCache>
            </c:strRef>
          </c:cat>
          <c:val>
            <c:numRef>
              <c:f>'Script_Sensitivity'!$I$2:$I$10</c:f>
              <c:numCache>
                <c:formatCode>General</c:formatCode>
                <c:ptCount val="0"/>
              </c:numCache>
            </c:numRef>
          </c:val>
        </c:ser>
        <c:ser>
          <c:idx val="8"/>
          <c:order val="8"/>
          <c:tx>
            <c:v>readiness_score</c:v>
          </c:tx>
          <c:cat>
            <c:strRef>
              <c:f>'Script_Sensitivity'!$A$2:$A$10</c:f>
              <c:strCache>
                <c:ptCount val="0"/>
              </c:strCache>
            </c:strRef>
          </c:cat>
          <c:val>
            <c:numRef>
              <c:f>'Script_Sensitivity'!$J$2:$J$10</c:f>
              <c:numCache>
                <c:formatCode>General</c:formatCode>
                <c:ptCount val="0"/>
              </c:numCache>
            </c:numRef>
          </c:val>
        </c:ser>
        <c:ser>
          <c:idx val="9"/>
          <c:order val="9"/>
          <c:tx>
            <c:v>readiness_LRAI</c:v>
          </c:tx>
          <c:cat>
            <c:strRef>
              <c:f>'Script_Sensitivity'!$A$2:$A$10</c:f>
              <c:strCache>
                <c:ptCount val="0"/>
              </c:strCache>
            </c:strRef>
          </c:cat>
          <c:val>
            <c:numRef>
              <c:f>'Script_Sensitivity'!$K$2:$K$10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LRAI6 vs Legacy Seven-Component LRAI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code</c:v>
          </c:tx>
          <c:cat>
            <c:strRef>
              <c:f>'LRAI6_and_SCSI'!$A$2:$A$10</c:f>
              <c:strCache>
                <c:ptCount val="0"/>
              </c:strCache>
            </c:strRef>
          </c:cat>
          <c:val>
            <c:numRef>
              <c:f>'LRAI6_and_SCSI'!$B$2:$B$10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primary_script</c:v>
          </c:tx>
          <c:cat>
            <c:strRef>
              <c:f>'LRAI6_and_SCSI'!$A$2:$A$10</c:f>
              <c:strCache>
                <c:ptCount val="0"/>
              </c:strCache>
            </c:strRef>
          </c:cat>
          <c:val>
            <c:numRef>
              <c:f>'LRAI6_and_SCSI'!$C$2:$C$10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LRAI6</c:v>
          </c:tx>
          <c:cat>
            <c:strRef>
              <c:f>'LRAI6_and_SCSI'!$A$2:$A$10</c:f>
              <c:strCache>
                <c:ptCount val="0"/>
              </c:strCache>
            </c:strRef>
          </c:cat>
          <c:val>
            <c:numRef>
              <c:f>'LRAI6_and_SCSI'!$D$2:$D$10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LRAI6_rank</c:v>
          </c:tx>
          <c:cat>
            <c:strRef>
              <c:f>'LRAI6_and_SCSI'!$A$2:$A$10</c:f>
              <c:strCache>
                <c:ptCount val="0"/>
              </c:strCache>
            </c:strRef>
          </c:cat>
          <c:val>
            <c:numRef>
              <c:f>'LRAI6_and_SCSI'!$E$2:$E$10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LRAI6_rank_based</c:v>
          </c:tx>
          <c:cat>
            <c:strRef>
              <c:f>'LRAI6_and_SCSI'!$A$2:$A$10</c:f>
              <c:strCache>
                <c:ptCount val="0"/>
              </c:strCache>
            </c:strRef>
          </c:cat>
          <c:val>
            <c:numRef>
              <c:f>'LRAI6_and_SCSI'!$F$2:$F$10</c:f>
              <c:numCache>
                <c:formatCode>0.000</c:formatCode>
                <c:ptCount val="0"/>
              </c:numCache>
            </c:numRef>
          </c:val>
        </c:ser>
        <c:ser>
          <c:idx val="5"/>
          <c:order val="5"/>
          <c:tx>
            <c:v>SCSI_unicode_input</c:v>
          </c:tx>
          <c:cat>
            <c:strRef>
              <c:f>'LRAI6_and_SCSI'!$A$2:$A$10</c:f>
              <c:strCache>
                <c:ptCount val="0"/>
              </c:strCache>
            </c:strRef>
          </c:cat>
          <c:val>
            <c:numRef>
              <c:f>'LRAI6_and_SCSI'!$G$2:$G$10</c:f>
              <c:numCache>
                <c:formatCode>0.000</c:formatCode>
                <c:ptCount val="0"/>
              </c:numCache>
            </c:numRef>
          </c:val>
        </c:ser>
        <c:ser>
          <c:idx val="6"/>
          <c:order val="6"/>
          <c:tx>
            <c:v>SCSI_digital_readiness</c:v>
          </c:tx>
          <c:cat>
            <c:strRef>
              <c:f>'LRAI6_and_SCSI'!$A$2:$A$10</c:f>
              <c:strCache>
                <c:ptCount val="0"/>
              </c:strCache>
            </c:strRef>
          </c:cat>
          <c:val>
            <c:numRef>
              <c:f>'LRAI6_and_SCSI'!$H$2:$H$10</c:f>
              <c:numCache>
                <c:formatCode>0.000</c:formatCode>
                <c:ptCount val="0"/>
              </c:numCache>
            </c:numRef>
          </c:val>
        </c:ser>
        <c:ser>
          <c:idx val="7"/>
          <c:order val="7"/>
          <c:tx>
            <c:v>SCSI_primary_script_resource</c:v>
          </c:tx>
          <c:cat>
            <c:strRef>
              <c:f>'LRAI6_and_SCSI'!$A$2:$A$10</c:f>
              <c:strCache>
                <c:ptCount val="0"/>
              </c:strCache>
            </c:strRef>
          </c:cat>
          <c:val>
            <c:numRef>
              <c:f>'LRAI6_and_SCSI'!$I$2:$I$10</c:f>
              <c:numCache>
                <c:formatCode>0.000</c:formatCode>
                <c:ptCount val="0"/>
              </c:numCache>
            </c:numRef>
          </c:val>
        </c:ser>
        <c:ser>
          <c:idx val="8"/>
          <c:order val="8"/>
          <c:tx>
            <c:v>SCSI_tokenizer_evidence</c:v>
          </c:tx>
          <c:cat>
            <c:strRef>
              <c:f>'LRAI6_and_SCSI'!$A$2:$A$10</c:f>
              <c:strCache>
                <c:ptCount val="0"/>
              </c:strCache>
            </c:strRef>
          </c:cat>
          <c:val>
            <c:numRef>
              <c:f>'LRAI6_and_SCSI'!$J$2:$J$10</c:f>
              <c:numCache>
                <c:formatCode>0.000</c:formatCode>
                <c:ptCount val="0"/>
              </c:numCache>
            </c:numRef>
          </c:val>
        </c:ser>
        <c:ser>
          <c:idx val="9"/>
          <c:order val="9"/>
          <c:tx>
            <c:v>SCSI</c:v>
          </c:tx>
          <c:cat>
            <c:strRef>
              <c:f>'LRAI6_and_SCSI'!$A$2:$A$10</c:f>
              <c:strCache>
                <c:ptCount val="0"/>
              </c:strCache>
            </c:strRef>
          </c:cat>
          <c:val>
            <c:numRef>
              <c:f>'LRAI6_and_SCSI'!$K$2:$K$10</c:f>
              <c:numCache>
                <c:formatCode>0.000</c:formatCode>
                <c:ptCount val="0"/>
              </c:numCache>
            </c:numRef>
          </c:val>
        </c:ser>
        <c:ser>
          <c:idx val="10"/>
          <c:order val="10"/>
          <c:tx>
            <c:v>SCSI_rank</c:v>
          </c:tx>
          <c:cat>
            <c:strRef>
              <c:f>'LRAI6_and_SCSI'!$A$2:$A$10</c:f>
              <c:strCache>
                <c:ptCount val="0"/>
              </c:strCache>
            </c:strRef>
          </c:cat>
          <c:val>
            <c:numRef>
              <c:f>'LRAI6_and_SCSI'!$L$2:$L$10</c:f>
              <c:numCache>
                <c:formatCode>General</c:formatCode>
                <c:ptCount val="0"/>
              </c:numCache>
            </c:numRef>
          </c:val>
        </c:ser>
        <c:ser>
          <c:idx val="11"/>
          <c:order val="11"/>
          <c:tx>
            <c:v>legacy_LRAI7</c:v>
          </c:tx>
          <c:cat>
            <c:strRef>
              <c:f>'LRAI6_and_SCSI'!$A$2:$A$10</c:f>
              <c:strCache>
                <c:ptCount val="0"/>
              </c:strCache>
            </c:strRef>
          </c:cat>
          <c:val>
            <c:numRef>
              <c:f>'LRAI6_and_SCSI'!$M$2:$M$10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7c4fa8750d4b4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15</xdr:col>
      <xdr:colOff>0</xdr:colOff>
      <xdr:row>11</xdr:row>
      <xdr:rowOff>0</xdr:rowOff>
    </xdr:from>
    <xdr:to>
      <xdr:col>24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ccf42806b747e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16</xdr:col>
      <xdr:colOff>0</xdr:colOff>
      <xdr:row>11</xdr:row>
      <xdr:rowOff>0</xdr:rowOff>
    </xdr:from>
    <xdr:to>
      <xdr:col>26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56e88a282c4b6c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18</xdr:col>
      <xdr:colOff>0</xdr:colOff>
      <xdr:row>13</xdr:row>
      <xdr:rowOff>0</xdr:rowOff>
    </xdr:from>
    <xdr:to>
      <xdr:col>28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c4a49a7f0d4c0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ae644ffcc5641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83e4c9601f4d4a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00f5a1f247da4b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4.xml" Id="R7a9b212955094692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0" hidden="0" customWidth="1"/>
  </x:cols>
  <x:sheetData>
    <x:row r="1">
      <x:c r="A1" s="12" t="str">
        <x:v>Paper A — LRAI v1 Provisional Scoring</x:v>
      </x:c>
      <x:c r="B1" s="12" t="str"/>
    </x:row>
    <x:row r="2">
      <x:c r="A2" s="13" t="str">
        <x:v>Status</x:v>
      </x:c>
      <x:c r="B2" s="14" t="str">
        <x:v>Provisional scoring model. Evidence is complete at component level, but the index is not manuscript-frozen until sensitivity checks and source audit are accepted.</x:v>
      </x:c>
    </x:row>
    <x:row r="3">
      <x:c r="A3" s="13" t="str">
        <x:v>Languages</x:v>
      </x:c>
      <x:c r="B3" s="14" t="str">
        <x:v>9 language-level units; therefore association analyses must be interpreted as covariation, not causal proof.</x:v>
      </x:c>
    </x:row>
    <x:row r="4">
      <x:c r="A4" s="13" t="str">
        <x:v>Seven components</x:v>
      </x:c>
      <x:c r="B4" s="14" t="str">
        <x:v>Digital textual presence; monolingual corpus availability; parallel-data availability; annotated-resource availability; benchmark coverage; model/tool support; script support.</x:v>
      </x:c>
    </x:row>
    <x:row r="5">
      <x:c r="A5" s="13" t="str">
        <x:v>Transform for skewed quantities</x:v>
      </x:c>
      <x:c r="B5" s="14" t="str">
        <x:v>Use LN(1+x) before min–max normalization for Wikipedia articles, monolingual tokens, parallel sentences, NER sentences, speech hours and OCR rows.</x:v>
      </x:c>
    </x:row>
    <x:row r="6">
      <x:c r="A6" s="13" t="str">
        <x:v>Annotated-resource component</x:v>
      </x:c>
      <x:c r="B6" s="14" t="str">
        <x:v>Mean of four normalized sub-indicators: resource-family breadth, NER size, speech hours, OCR rows.</x:v>
      </x:c>
    </x:row>
    <x:row r="7">
      <x:c r="A7" s="13" t="str">
        <x:v>Benchmark component</x:v>
      </x:c>
      <x:c r="B7" s="14" t="str">
        <x:v>Observed benchmark-family count, min–max normalized.</x:v>
      </x:c>
    </x:row>
    <x:row r="8">
      <x:c r="A8" s="13" t="str">
        <x:v>Model/tool component</x:v>
      </x:c>
      <x:c r="B8" s="14" t="str">
        <x:v>Verified model/tool support count, min–max normalized.</x:v>
      </x:c>
    </x:row>
    <x:row r="9">
      <x:c r="A9" s="13" t="str">
        <x:v>Script-support coding</x:v>
      </x:c>
      <x:c r="B9" s="14" t="str">
        <x:v>3 = direct primary-script computational/resource evidence; 2 = general script support verified but limited script-specific evidence; 1 = material primary-script mismatch or primary-script resource evidence unresolved.</x:v>
      </x:c>
    </x:row>
    <x:row r="10">
      <x:c r="A10" s="13" t="str">
        <x:v>Primary-script LRAI</x:v>
      </x:c>
      <x:c r="B10" s="14" t="str">
        <x:v>Uses primary-script parallel-data evidence. Sindhi remains NA because current evidence verifies 0.01M Devanagari bitext, not the benchmark's primary Perso-Arabic condition.</x:v>
      </x:c>
    </x:row>
    <x:row r="11">
      <x:c r="A11" s="13" t="str">
        <x:v>Aggregate LRAI</x:v>
      </x:c>
      <x:c r="B11" s="14" t="str">
        <x:v>Uses aggregate parallel data across verified scripts. This is a sensitivity variant, not the primary index.</x:v>
      </x:c>
    </x:row>
    <x:row r="12">
      <x:c r="A12" s="13" t="str">
        <x:v>Equal-weight composite</x:v>
      </x:c>
      <x:c r="B12" s="14" t="str">
        <x:v>Arithmetic mean of the seven normalized component scores.</x:v>
      </x:c>
    </x:row>
    <x:row r="13">
      <x:c r="A13" s="13" t="str">
        <x:v>Rank-based composite</x:v>
      </x:c>
      <x:c r="B13" s="14" t="str">
        <x:v>Mean of within-component percentile ranks; robustness to scale assumptions.</x:v>
      </x:c>
    </x:row>
    <x:row r="14">
      <x:c r="A14" s="13" t="str">
        <x:v>Leave-one-component-out</x:v>
      </x:c>
      <x:c r="B14" s="14" t="str">
        <x:v>Recompute the composite seven times, each time excluding one component.</x:v>
      </x:c>
    </x:row>
    <x:row r="15">
      <x:c r="A15" s="13" t="str">
        <x:v>Primary-vs-aggregate sensitivity</x:v>
      </x:c>
      <x:c r="B15" s="14" t="str">
        <x:v>Especially important for Kashmiri, Meitei and Sindhi.</x:v>
      </x:c>
    </x:row>
    <x:row r="16">
      <x:c r="A16" s="13" t="str">
        <x:v>Sanskrit safeguard</x:v>
      </x:c>
      <x:c r="B16" s="14" t="str">
        <x:v>Historical textual heritage remains descriptive and is excluded from LRAI.</x:v>
      </x:c>
    </x:row>
    <x:row r="17">
      <x:c r="A17" s="13" t="str">
        <x:v>Do not claim</x:v>
      </x:c>
      <x:c r="B17" s="14" t="str">
        <x:v>Do not describe the provisional ordering as a universal or intrinsic 'resource ranking' of the languages.</x:v>
      </x:c>
    </x:row>
    <x:row r="18">
      <x:c r="A18" s="13" t="str">
        <x:v>Next validation</x:v>
      </x:c>
      <x:c r="B18" s="14" t="str">
        <x:v>Inspect source completeness, test alternative script coding, compare equal-weight and rank-based ordering, then freeze LRAI v1.</x:v>
      </x:c>
    </x:row>
    <x:row r="19">
      <x:c r="A19" s="13" t="str">
        <x:v>Date</x:v>
      </x:c>
      <x:c r="B19" s="14" t="str">
        <x:v>2026-09-10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6" hidden="0" customWidth="1"/>
    <x:col min="4" max="4" width="14" hidden="0" customWidth="1"/>
    <x:col min="5" max="5" width="14" hidden="0" customWidth="1"/>
    <x:col min="6" max="6" width="16" hidden="0" customWidth="1"/>
    <x:col min="7" max="7" width="17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16" hidden="0" customWidth="1"/>
    <x:col min="13" max="13" width="18" hidden="0" customWidth="1"/>
    <x:col min="14" max="14" width="18" hidden="0" customWidth="1"/>
    <x:col min="15" max="15" width="14" hidden="0" customWidth="1"/>
    <x:col min="16" max="16" width="14" hidden="0" customWidth="1"/>
    <x:col min="17" max="17" width="18" hidden="0" customWidth="1"/>
    <x:col min="18" max="18" width="19" hidden="0" customWidth="1"/>
    <x:col min="19" max="19" width="16" hidden="0" customWidth="1"/>
    <x:col min="20" max="20" width="14" hidden="0" customWidth="1"/>
    <x:col min="21" max="21" width="14" hidden="0" customWidth="1"/>
    <x:col min="22" max="22" width="12" hidden="0" customWidth="1"/>
    <x:col min="23" max="23" width="16" hidden="0" customWidth="1"/>
    <x:col min="24" max="24" width="16" hidden="0" customWidth="1"/>
    <x:col min="25" max="25" width="14" hidden="0" customWidth="1"/>
    <x:col min="26" max="26" width="14" hidden="0" customWidth="1"/>
    <x:col min="27" max="27" width="18" hidden="0" customWidth="1"/>
    <x:col min="28" max="28" width="20" hidden="0" customWidth="1"/>
    <x:col min="29" max="29" width="18" hidden="0" customWidth="1"/>
    <x:col min="30" max="30" width="20" hidden="0" customWidth="1"/>
    <x:col min="31" max="31" width="16" hidden="0" customWidth="1"/>
    <x:col min="32" max="32" width="16" hidden="0" customWidth="1"/>
    <x:col min="33" max="33" width="18" hidden="0" customWidth="1"/>
    <x:col min="34" max="34" width="20" hidden="0" customWidth="1"/>
    <x:col min="35" max="35" width="20" hidden="0" customWidth="1"/>
    <x:col min="36" max="36" width="18" hidden="0" customWidth="1"/>
    <x:col min="37" max="37" width="18" hidden="0" customWidth="1"/>
    <x:col min="38" max="38" width="20" hidden="0" customWidth="1"/>
    <x:col min="39" max="39" width="45" hidden="0" customWidth="1"/>
  </x:cols>
  <x:sheetData>
    <x:row r="1">
      <x:c r="A1" s="20" t="str">
        <x:v>language</x:v>
      </x:c>
      <x:c r="B1" s="20" t="str">
        <x:v>code</x:v>
      </x:c>
      <x:c r="C1" s="20" t="str">
        <x:v>primary_script</x:v>
      </x:c>
      <x:c r="D1" s="20" t="str">
        <x:v>wiki_articles</x:v>
      </x:c>
      <x:c r="E1" s="20" t="str">
        <x:v>mono_tokens_M</x:v>
      </x:c>
      <x:c r="F1" s="20" t="str">
        <x:v>parallel_primary_M</x:v>
      </x:c>
      <x:c r="G1" s="20" t="str">
        <x:v>parallel_aggregate_M</x:v>
      </x:c>
      <x:c r="H1" s="20" t="str">
        <x:v>annotated_families</x:v>
      </x:c>
      <x:c r="I1" s="20" t="str">
        <x:v>NER_sentences</x:v>
      </x:c>
      <x:c r="J1" s="20" t="str">
        <x:v>speech_hours</x:v>
      </x:c>
      <x:c r="K1" s="20" t="str">
        <x:v>OCR_rows</x:v>
      </x:c>
      <x:c r="L1" s="20" t="str">
        <x:v>benchmark_count</x:v>
      </x:c>
      <x:c r="M1" s="20" t="str">
        <x:v>model_support_count</x:v>
      </x:c>
      <x:c r="N1" s="20" t="str">
        <x:v>script_support_ordinal</x:v>
      </x:c>
      <x:c r="O1" s="20" t="str">
        <x:v>digital_norm</x:v>
      </x:c>
      <x:c r="P1" s="20" t="str">
        <x:v>mono_norm</x:v>
      </x:c>
      <x:c r="Q1" s="20" t="str">
        <x:v>parallel_primary_norm</x:v>
      </x:c>
      <x:c r="R1" s="20" t="str">
        <x:v>parallel_aggregate_norm</x:v>
      </x:c>
      <x:c r="S1" s="20" t="str">
        <x:v>ann_family_norm</x:v>
      </x:c>
      <x:c r="T1" s="20" t="str">
        <x:v>NER_norm</x:v>
      </x:c>
      <x:c r="U1" s="20" t="str">
        <x:v>speech_norm</x:v>
      </x:c>
      <x:c r="V1" s="20" t="str">
        <x:v>OCR_norm</x:v>
      </x:c>
      <x:c r="W1" s="20" t="str">
        <x:v>annotated_norm</x:v>
      </x:c>
      <x:c r="X1" s="20" t="str">
        <x:v>benchmark_norm</x:v>
      </x:c>
      <x:c r="Y1" s="20" t="str">
        <x:v>model_norm</x:v>
      </x:c>
      <x:c r="Z1" s="20" t="str">
        <x:v>script_norm</x:v>
      </x:c>
      <x:c r="AA1" s="20" t="str">
        <x:v>LRAI_equal_primary</x:v>
      </x:c>
      <x:c r="AB1" s="20" t="str">
        <x:v>LRAI_equal_aggregate</x:v>
      </x:c>
      <x:c r="AC1" s="20" t="str">
        <x:v>LRAI_rank_primary</x:v>
      </x:c>
      <x:c r="AD1" s="20" t="str">
        <x:v>LRAI_rank_aggregate</x:v>
      </x:c>
      <x:c r="AE1" s="20" t="str">
        <x:v>LOO_no_digital</x:v>
      </x:c>
      <x:c r="AF1" s="20" t="str">
        <x:v>LOO_no_mono</x:v>
      </x:c>
      <x:c r="AG1" s="20" t="str">
        <x:v>LOO_no_parallel</x:v>
      </x:c>
      <x:c r="AH1" s="20" t="str">
        <x:v>LOO_no_annotated</x:v>
      </x:c>
      <x:c r="AI1" s="20" t="str">
        <x:v>LOO_no_benchmark</x:v>
      </x:c>
      <x:c r="AJ1" s="20" t="str">
        <x:v>LOO_no_model</x:v>
      </x:c>
      <x:c r="AK1" s="20" t="str">
        <x:v>LOO_no_script</x:v>
      </x:c>
      <x:c r="AL1" s="20" t="str">
        <x:v>primary_minus_aggregate</x:v>
      </x:c>
      <x:c r="AM1" s="20" t="str">
        <x:v>scoring_status</x:v>
      </x:c>
    </x:row>
    <x:row r="2">
      <x:c r="A2" s="14" t="str">
        <x:v>Sanskrit</x:v>
      </x:c>
      <x:c r="B2" s="14" t="str">
        <x:v>SAN</x:v>
      </x:c>
      <x:c r="C2" s="14" t="str">
        <x:v>Devanagari</x:v>
      </x:c>
      <x:c r="D2" s="14" t="n">
        <x:v>12547</x:v>
      </x:c>
      <x:c r="E2" s="14" t="n">
        <x:v>80.09</x:v>
      </x:c>
      <x:c r="F2" s="14" t="n">
        <x:v>0.28</x:v>
      </x:c>
      <x:c r="G2" s="14" t="n">
        <x:v>0.28</x:v>
      </x:c>
      <x:c r="H2" s="14" t="n">
        <x:v>4</x:v>
      </x:c>
      <x:c r="I2" s="14" t="n">
        <x:v>99353</x:v>
      </x:c>
      <x:c r="J2" s="14" t="n">
        <x:v>143.12</x:v>
      </x:c>
      <x:c r="K2" s="14" t="n">
        <x:v>696</x:v>
      </x:c>
      <x:c r="L2" s="14" t="n">
        <x:v>3</x:v>
      </x:c>
      <x:c r="M2" s="14" t="n">
        <x:v>2</x:v>
      </x:c>
      <x:c r="N2" s="14" t="n">
        <x:v>2</x:v>
      </x:c>
      <x:c r="O2" s="24" t="n">
        <x:f>(LN(1+D2)-MIN(LN(1+$D$2),LN(1+$D$3),LN(1+$D$4),LN(1+$D$5),LN(1+$D$6),LN(1+$D$7),LN(1+$D$8),LN(1+$D$9),LN(1+$D$10)))/(MAX(LN(1+$D$2),LN(1+$D$3),LN(1+$D$4),LN(1+$D$5),LN(1+$D$6),LN(1+$D$7),LN(1+$D$8),LN(1+$D$9),LN(1+$D$10))-MIN(LN(1+$D$2),LN(1+$D$3),LN(1+$D$4),LN(1+$D$5),LN(1+$D$6),LN(1+$D$7),LN(1+$D$8),LN(1+$D$9),LN(1+$D$10)))</x:f>
        <x:v>0.9428305168463219</x:v>
      </x:c>
      <x:c r="P2" s="24" t="n">
        <x:f>(LN(1+E2)-MIN(LN(1+$E$2),LN(1+$E$3),LN(1+$E$4),LN(1+$E$5),LN(1+$E$6),LN(1+$E$7),LN(1+$E$8),LN(1+$E$9),LN(1+$E$10)))/(MAX(LN(1+$E$2),LN(1+$E$3),LN(1+$E$4),LN(1+$E$5),LN(1+$E$6),LN(1+$E$7),LN(1+$E$8),LN(1+$E$9),LN(1+$E$10))-MIN(LN(1+$E$2),LN(1+$E$3),LN(1+$E$4),LN(1+$E$5),LN(1+$E$6),LN(1+$E$7),LN(1+$E$8),LN(1+$E$9),LN(1+$E$10)))</x:f>
        <x:v>0.9891279373086748</x:v>
      </x:c>
      <x:c r="Q2" s="24" t="n">
        <x:f>(LN(1+F2)-MIN(LN(1+$F$2),LN(1+$F$3),LN(1+$F$4),LN(1+$F$5),LN(1+$F$6),LN(1+$F$7),LN(1+$F$8),LN(1+$F$9),LN(1+$F$10)))/(MAX(LN(1+$F$2),LN(1+$F$3),LN(1+$F$4),LN(1+$F$5),LN(1+$F$6),LN(1+$F$7),LN(1+$F$8),LN(1+$F$9),LN(1+$F$10))-MIN(LN(1+$F$2),LN(1+$F$3),LN(1+$F$4),LN(1+$F$5),LN(1+$F$6),LN(1+$F$7),LN(1+$F$8),LN(1+$F$9),LN(1+$F$10)))</x:f>
        <x:v>1</x:v>
      </x:c>
      <x:c r="R2" s="24" t="n">
        <x:f>(LN(1+G2)-MIN(LN(1+$G$2),LN(1+$G$3),LN(1+$G$4),LN(1+$G$5),LN(1+$G$6),LN(1+$G$7),LN(1+$G$8),LN(1+$G$9),LN(1+$G$10)))/(MAX(LN(1+$G$2),LN(1+$G$3),LN(1+$G$4),LN(1+$G$5),LN(1+$G$6),LN(1+$G$7),LN(1+$G$8),LN(1+$G$9),LN(1+$G$10))-MIN(LN(1+$G$2),LN(1+$G$3),LN(1+$G$4),LN(1+$G$5),LN(1+$G$6),LN(1+$G$7),LN(1+$G$8),LN(1+$G$9),LN(1+$G$10)))</x:f>
        <x:v>0.7100773046264867</x:v>
      </x:c>
      <x:c r="S2" s="24" t="n">
        <x:f>(H2-MIN($H$2:$H$10))/(MAX($H$2:$H$10)-MIN($H$2:$H$10))</x:f>
        <x:v>1</x:v>
      </x:c>
      <x:c r="T2" s="24" t="n">
        <x:f>(LN(1+I2)-MIN(LN(1+$I$2),LN(1+$I$3),LN(1+$I$4),LN(1+$I$5),LN(1+$I$6),LN(1+$I$7),LN(1+$I$8),LN(1+$I$9),LN(1+$I$10)))/(MAX(LN(1+$I$2),LN(1+$I$3),LN(1+$I$4),LN(1+$I$5),LN(1+$I$6),LN(1+$I$7),LN(1+$I$8),LN(1+$I$9),LN(1+$I$10))-MIN(LN(1+$I$2),LN(1+$I$3),LN(1+$I$4),LN(1+$I$5),LN(1+$I$6),LN(1+$I$7),LN(1+$I$8),LN(1+$I$9),LN(1+$I$10)))</x:f>
        <x:v>0</x:v>
      </x:c>
      <x:c r="U2" s="24" t="n">
        <x:f>(LN(1+J2)-MIN(LN(1+$J$2),LN(1+$J$3),LN(1+$J$4),LN(1+$J$5),LN(1+$J$6),LN(1+$J$7),LN(1+$J$8),LN(1+$J$9),LN(1+$J$10)))/(MAX(LN(1+$J$2),LN(1+$J$3),LN(1+$J$4),LN(1+$J$5),LN(1+$J$6),LN(1+$J$7),LN(1+$J$8),LN(1+$J$9),LN(1+$J$10))-MIN(LN(1+$J$2),LN(1+$J$3),LN(1+$J$4),LN(1+$J$5),LN(1+$J$6),LN(1+$J$7),LN(1+$J$8),LN(1+$J$9),LN(1+$J$10)))</x:f>
        <x:v>0.3369781965192023</x:v>
      </x:c>
      <x:c r="V2" s="24" t="n">
        <x:f>(LN(1+K2)-MIN(LN(1+$K$2),LN(1+$K$3),LN(1+$K$4),LN(1+$K$5),LN(1+$K$6),LN(1+$K$7),LN(1+$K$8),LN(1+$K$9),LN(1+$K$10)))/(MAX(LN(1+$K$2),LN(1+$K$3),LN(1+$K$4),LN(1+$K$5),LN(1+$K$6),LN(1+$K$7),LN(1+$K$8),LN(1+$K$9),LN(1+$K$10))-MIN(LN(1+$K$2),LN(1+$K$3),LN(1+$K$4),LN(1+$K$5),LN(1+$K$6),LN(1+$K$7),LN(1+$K$8),LN(1+$K$9),LN(1+$K$10)))</x:f>
        <x:v>0.21591632642428224</x:v>
      </x:c>
      <x:c r="W2" s="24" t="n">
        <x:f>AVERAGE(S2:V2)</x:f>
        <x:v>0.38822363073587113</x:v>
      </x:c>
      <x:c r="X2" s="24" t="n">
        <x:f>(L2-MIN($L$2:$L$10))/(MAX($L$2:$L$10)-MIN($L$2:$L$10))</x:f>
        <x:v>1</x:v>
      </x:c>
      <x:c r="Y2" s="24" t="n">
        <x:f>(M2-MIN($M$2:$M$10))/(MAX($M$2:$M$10)-MIN($M$2:$M$10))</x:f>
        <x:v>0</x:v>
      </x:c>
      <x:c r="Z2" s="24" t="n">
        <x:f>(N2-1)/2</x:f>
        <x:v>0.5</x:v>
      </x:c>
      <x:c r="AA2" s="24" t="n">
        <x:f>AVERAGE(O2,P2,Q2,W2,X2,Y2,Z2)</x:f>
        <x:v>0.6885974406986953</x:v>
      </x:c>
      <x:c r="AB2" s="24" t="n">
        <x:f>AVERAGE(O2,P2,R2,W2,X2,Y2,Z2)</x:f>
        <x:v>0.6471799127881935</x:v>
      </x:c>
      <x:c r="AC2" s="24" t="n">
        <x:f>AVERAGE((RANK.EQ(O2,$O$2:$O$10,1)-1)/8,(RANK.EQ(P2,$P$2:$P$10,1)-1)/8,(RANK.EQ(Q2,$Q$2:$Q$10,1)-1)/8,(RANK.EQ(W2,$W$2:$W$10,1)-1)/8,(RANK.EQ(X2,$X$2:$X$10,1)-1)/8,(RANK.EQ(Y2,$Y$2:$Y$10,1)-1)/8,(RANK.EQ(Z2,$Z$2:$Z$10,1)-1)/8)</x:f>
        <x:v>0.48214285714285715</x:v>
      </x:c>
      <x:c r="AD2" s="24" t="n">
        <x:f>AVERAGE((RANK.EQ(O2,$O$2:$O$10,1)-1)/8,(RANK.EQ(P2,$P$2:$P$10,1)-1)/8,(RANK.EQ(R2,$R$2:$R$10,1)-1)/8,(RANK.EQ(W2,$W$2:$W$10,1)-1)/8,(RANK.EQ(X2,$X$2:$X$10,1)-1)/8,(RANK.EQ(Y2,$Y$2:$Y$10,1)-1)/8,(RANK.EQ(Z2,$Z$2:$Z$10,1)-1)/8)</x:f>
        <x:v>0.44642857142857145</x:v>
      </x:c>
      <x:c r="AE2" s="24" t="n">
        <x:f>AVERAGE(P2,Q2,W2,X2,Y2,Z2)</x:f>
        <x:v>0.6462252613407576</x:v>
      </x:c>
      <x:c r="AF2" s="24" t="n">
        <x:f>AVERAGE(O2,Q2,W2,X2,Y2,Z2)</x:f>
        <x:v>0.6385090245970322</x:v>
      </x:c>
      <x:c r="AG2" s="24" t="n">
        <x:f>AVERAGE(O2,P2,W2,X2,Y2,Z2)</x:f>
        <x:v>0.6366970141484779</x:v>
      </x:c>
      <x:c r="AH2" s="24" t="n">
        <x:f>AVERAGE(O2,P2,Q2,X2,Y2,Z2)</x:f>
        <x:v>0.738659742359166</x:v>
      </x:c>
      <x:c r="AI2" s="24" t="n">
        <x:f>AVERAGE(O2,P2,Q2,W2,Y2,Z2)</x:f>
        <x:v>0.6366970141484779</x:v>
      </x:c>
      <x:c r="AJ2" s="24" t="n">
        <x:f>AVERAGE(O2,P2,Q2,W2,X2,Z2)</x:f>
        <x:v>0.8033636808151446</x:v>
      </x:c>
      <x:c r="AK2" s="24" t="n">
        <x:f>AVERAGE(O2,P2,Q2,W2,X2,Y2)</x:f>
        <x:v>0.7200303474818113</x:v>
      </x:c>
      <x:c r="AL2" s="24" t="n">
        <x:f>AA2-AB2</x:f>
        <x:v>0.041417527910501795</x:v>
      </x:c>
      <x:c r="AM2" s="14" t="str">
        <x:v>Provisional score available</x:v>
      </x:c>
    </x:row>
    <x:row r="3">
      <x:c r="A3" s="14" t="str">
        <x:v>Santali</x:v>
      </x:c>
      <x:c r="B3" s="14" t="str">
        <x:v>SAT</x:v>
      </x:c>
      <x:c r="C3" s="14" t="str">
        <x:v>Ol Chiki</x:v>
      </x:c>
      <x:c r="D3" s="14" t="n">
        <x:v>15936</x:v>
      </x:c>
      <x:c r="E3" s="14" t="n">
        <x:v>3.05</x:v>
      </x:c>
      <x:c r="F3" s="14" t="n">
        <x:v>0.02</x:v>
      </x:c>
      <x:c r="G3" s="14" t="n">
        <x:v>0.02</x:v>
      </x:c>
      <x:c r="H3" s="14" t="n">
        <x:v>3</x:v>
      </x:c>
      <x:c r="I3" s="14" t="n">
        <x:v>125097</x:v>
      </x:c>
      <x:c r="J3" s="14" t="n">
        <x:v>298.19</x:v>
      </x:c>
      <x:c r="K3" s="14" t="n">
        <x:v>854</x:v>
      </x:c>
      <x:c r="L3" s="14" t="n">
        <x:v>2</x:v>
      </x:c>
      <x:c r="M3" s="14" t="n">
        <x:v>2</x:v>
      </x:c>
      <x:c r="N3" s="14" t="n">
        <x:v>3</x:v>
      </x:c>
      <x:c r="O3" s="24" t="n">
        <x:f>(LN(1+D3)-MIN(LN(1+$D$2),LN(1+$D$3),LN(1+$D$4),LN(1+$D$5),LN(1+$D$6),LN(1+$D$7),LN(1+$D$8),LN(1+$D$9),LN(1+$D$10)))/(MAX(LN(1+$D$2),LN(1+$D$3),LN(1+$D$4),LN(1+$D$5),LN(1+$D$6),LN(1+$D$7),LN(1+$D$8),LN(1+$D$9),LN(1+$D$10))-MIN(LN(1+$D$2),LN(1+$D$3),LN(1+$D$4),LN(1+$D$5),LN(1+$D$6),LN(1+$D$7),LN(1+$D$8),LN(1+$D$9),LN(1+$D$10)))</x:f>
        <x:v>0.9667159035874435</x:v>
      </x:c>
      <x:c r="P3" s="24" t="n">
        <x:f>(LN(1+E3)-MIN(LN(1+$E$2),LN(1+$E$3),LN(1+$E$4),LN(1+$E$5),LN(1+$E$6),LN(1+$E$7),LN(1+$E$8),LN(1+$E$9),LN(1+$E$10)))/(MAX(LN(1+$E$2),LN(1+$E$3),LN(1+$E$4),LN(1+$E$5),LN(1+$E$6),LN(1+$E$7),LN(1+$E$8),LN(1+$E$9),LN(1+$E$10))-MIN(LN(1+$E$2),LN(1+$E$3),LN(1+$E$4),LN(1+$E$5),LN(1+$E$6),LN(1+$E$7),LN(1+$E$8),LN(1+$E$9),LN(1+$E$10)))</x:f>
        <x:v>0.26272673708587957</x:v>
      </x:c>
      <x:c r="Q3" s="24" t="n">
        <x:f>(LN(1+F3)-MIN(LN(1+$F$2),LN(1+$F$3),LN(1+$F$4),LN(1+$F$5),LN(1+$F$6),LN(1+$F$7),LN(1+$F$8),LN(1+$F$9),LN(1+$F$10)))/(MAX(LN(1+$F$2),LN(1+$F$3),LN(1+$F$4),LN(1+$F$5),LN(1+$F$6),LN(1+$F$7),LN(1+$F$8),LN(1+$F$9),LN(1+$F$10))-MIN(LN(1+$F$2),LN(1+$F$3),LN(1+$F$4),LN(1+$F$5),LN(1+$F$6),LN(1+$F$7),LN(1+$F$8),LN(1+$F$9),LN(1+$F$10)))</x:f>
        <x:v>0</x:v>
      </x:c>
      <x:c r="R3" s="24" t="n">
        <x:f>(LN(1+G3)-MIN(LN(1+$G$2),LN(1+$G$3),LN(1+$G$4),LN(1+$G$5),LN(1+$G$6),LN(1+$G$7),LN(1+$G$8),LN(1+$G$9),LN(1+$G$10)))/(MAX(LN(1+$G$2),LN(1+$G$3),LN(1+$G$4),LN(1+$G$5),LN(1+$G$6),LN(1+$G$7),LN(1+$G$8),LN(1+$G$9),LN(1+$G$10))-MIN(LN(1+$G$2),LN(1+$G$3),LN(1+$G$4),LN(1+$G$5),LN(1+$G$6),LN(1+$G$7),LN(1+$G$8),LN(1+$G$9),LN(1+$G$10)))</x:f>
        <x:v>0.029529777431744668</x:v>
      </x:c>
      <x:c r="S3" s="24" t="n">
        <x:f>(H3-MIN($H$2:$H$10))/(MAX($H$2:$H$10)-MIN($H$2:$H$10))</x:f>
        <x:v>0</x:v>
      </x:c>
      <x:c r="T3" s="24" t="n">
        <x:f>(LN(1+I3)-MIN(LN(1+$I$2),LN(1+$I$3),LN(1+$I$4),LN(1+$I$5),LN(1+$I$6),LN(1+$I$7),LN(1+$I$8),LN(1+$I$9),LN(1+$I$10)))/(MAX(LN(1+$I$2),LN(1+$I$3),LN(1+$I$4),LN(1+$I$5),LN(1+$I$6),LN(1+$I$7),LN(1+$I$8),LN(1+$I$9),LN(1+$I$10))-MIN(LN(1+$I$2),LN(1+$I$3),LN(1+$I$4),LN(1+$I$5),LN(1+$I$6),LN(1+$I$7),LN(1+$I$8),LN(1+$I$9),LN(1+$I$10)))</x:f>
        <x:v>0.40214539097512325</x:v>
      </x:c>
      <x:c r="U3" s="24" t="n">
        <x:f>(LN(1+J3)-MIN(LN(1+$J$2),LN(1+$J$3),LN(1+$J$4),LN(1+$J$5),LN(1+$J$6),LN(1+$J$7),LN(1+$J$8),LN(1+$J$9),LN(1+$J$10)))/(MAX(LN(1+$J$2),LN(1+$J$3),LN(1+$J$4),LN(1+$J$5),LN(1+$J$6),LN(1+$J$7),LN(1+$J$8),LN(1+$J$9),LN(1+$J$10))-MIN(LN(1+$J$2),LN(1+$J$3),LN(1+$J$4),LN(1+$J$5),LN(1+$J$6),LN(1+$J$7),LN(1+$J$8),LN(1+$J$9),LN(1+$J$10)))</x:f>
        <x:v>0.6622405450369797</x:v>
      </x:c>
      <x:c r="V3" s="24" t="n">
        <x:f>(LN(1+K3)-MIN(LN(1+$K$2),LN(1+$K$3),LN(1+$K$4),LN(1+$K$5),LN(1+$K$6),LN(1+$K$7),LN(1+$K$8),LN(1+$K$9),LN(1+$K$10)))/(MAX(LN(1+$K$2),LN(1+$K$3),LN(1+$K$4),LN(1+$K$5),LN(1+$K$6),LN(1+$K$7),LN(1+$K$8),LN(1+$K$9),LN(1+$K$10))-MIN(LN(1+$K$2),LN(1+$K$3),LN(1+$K$4),LN(1+$K$5),LN(1+$K$6),LN(1+$K$7),LN(1+$K$8),LN(1+$K$9),LN(1+$K$10)))</x:f>
        <x:v>0.7146908372520344</x:v>
      </x:c>
      <x:c r="W3" s="24" t="n">
        <x:f>AVERAGE(S3:V3)</x:f>
        <x:v>0.4447691933160344</x:v>
      </x:c>
      <x:c r="X3" s="24" t="n">
        <x:f>(L3-MIN($L$2:$L$10))/(MAX($L$2:$L$10)-MIN($L$2:$L$10))</x:f>
        <x:v>0.5</x:v>
      </x:c>
      <x:c r="Y3" s="24" t="n">
        <x:f>(M3-MIN($M$2:$M$10))/(MAX($M$2:$M$10)-MIN($M$2:$M$10))</x:f>
        <x:v>0</x:v>
      </x:c>
      <x:c r="Z3" s="24" t="n">
        <x:f>(N3-1)/2</x:f>
        <x:v>1</x:v>
      </x:c>
      <x:c r="AA3" s="24" t="n">
        <x:f>AVERAGE(O3,P3,Q3,W3,X3,Y3,Z3)</x:f>
        <x:v>0.453458833427051</x:v>
      </x:c>
      <x:c r="AB3" s="24" t="n">
        <x:f>AVERAGE(O3,P3,R3,W3,X3,Y3,Z3)</x:f>
        <x:v>0.45767737306015743</x:v>
      </x:c>
      <x:c r="AC3" s="24" t="n">
        <x:f>AVERAGE((RANK.EQ(O3,$O$2:$O$10,1)-1)/8,(RANK.EQ(P3,$P$2:$P$10,1)-1)/8,(RANK.EQ(Q3,$Q$2:$Q$10,1)-1)/8,(RANK.EQ(W3,$W$2:$W$10,1)-1)/8,(RANK.EQ(X3,$X$2:$X$10,1)-1)/8,(RANK.EQ(Y3,$Y$2:$Y$10,1)-1)/8,(RANK.EQ(Z3,$Z$2:$Z$10,1)-1)/8)</x:f>
        <x:v>0.42857142857142855</x:v>
      </x:c>
      <x:c r="AD3" s="24" t="n">
        <x:f>AVERAGE((RANK.EQ(O3,$O$2:$O$10,1)-1)/8,(RANK.EQ(P3,$P$2:$P$10,1)-1)/8,(RANK.EQ(R3,$R$2:$R$10,1)-1)/8,(RANK.EQ(W3,$W$2:$W$10,1)-1)/8,(RANK.EQ(X3,$X$2:$X$10,1)-1)/8,(RANK.EQ(Y3,$Y$2:$Y$10,1)-1)/8,(RANK.EQ(Z3,$Z$2:$Z$10,1)-1)/8)</x:f>
        <x:v>0.44642857142857145</x:v>
      </x:c>
      <x:c r="AE3" s="24" t="n">
        <x:f>AVERAGE(P3,Q3,W3,X3,Y3,Z3)</x:f>
        <x:v>0.36791598840031897</x:v>
      </x:c>
      <x:c r="AF3" s="24" t="n">
        <x:f>AVERAGE(O3,Q3,W3,X3,Y3,Z3)</x:f>
        <x:v>0.48524751615057965</x:v>
      </x:c>
      <x:c r="AG3" s="24" t="n">
        <x:f>AVERAGE(O3,P3,W3,X3,Y3,Z3)</x:f>
        <x:v>0.5290353056648929</x:v>
      </x:c>
      <x:c r="AH3" s="24" t="n">
        <x:f>AVERAGE(O3,P3,Q3,X3,Y3,Z3)</x:f>
        <x:v>0.4549071067788872</x:v>
      </x:c>
      <x:c r="AI3" s="24" t="n">
        <x:f>AVERAGE(O3,P3,Q3,W3,Y3,Z3)</x:f>
        <x:v>0.44570197233155956</x:v>
      </x:c>
      <x:c r="AJ3" s="24" t="n">
        <x:f>AVERAGE(O3,P3,Q3,W3,X3,Z3)</x:f>
        <x:v>0.5290353056648929</x:v>
      </x:c>
      <x:c r="AK3" s="24" t="n">
        <x:f>AVERAGE(O3,P3,Q3,W3,X3,Y3)</x:f>
        <x:v>0.3623686389982262</x:v>
      </x:c>
      <x:c r="AL3" s="24" t="n">
        <x:f>AA3-AB3</x:f>
        <x:v>-0.004218539633106422</x:v>
      </x:c>
      <x:c r="AM3" s="14" t="str">
        <x:v>Provisional score available</x:v>
      </x:c>
    </x:row>
    <x:row r="4">
      <x:c r="A4" s="14" t="str">
        <x:v>Bodo</x:v>
      </x:c>
      <x:c r="B4" s="14" t="str">
        <x:v>BOD</x:v>
      </x:c>
      <x:c r="C4" s="14" t="str">
        <x:v>Devanagari</x:v>
      </x:c>
      <x:c r="D4" s="14" t="n">
        <x:v>0</x:v>
      </x:c>
      <x:c r="E4" s="14" t="n">
        <x:v>2.25</x:v>
      </x:c>
      <x:c r="F4" s="14" t="n">
        <x:v>0.12</x:v>
      </x:c>
      <x:c r="G4" s="14" t="n">
        <x:v>0.12</x:v>
      </x:c>
      <x:c r="H4" s="14" t="n">
        <x:v>4</x:v>
      </x:c>
      <x:c r="I4" s="14" t="n">
        <x:v>168036</x:v>
      </x:c>
      <x:c r="J4" s="14" t="n">
        <x:v>637.79</x:v>
      </x:c>
      <x:c r="K4" s="14" t="n">
        <x:v>887</x:v>
      </x:c>
      <x:c r="L4" s="14" t="n">
        <x:v>1</x:v>
      </x:c>
      <x:c r="M4" s="14" t="n">
        <x:v>2</x:v>
      </x:c>
      <x:c r="N4" s="14" t="n">
        <x:v>2</x:v>
      </x:c>
      <x:c r="O4" s="24" t="n">
        <x:f>(LN(1+D4)-MIN(LN(1+$D$2),LN(1+$D$3),LN(1+$D$4),LN(1+$D$5),LN(1+$D$6),LN(1+$D$7),LN(1+$D$8),LN(1+$D$9),LN(1+$D$10)))/(MAX(LN(1+$D$2),LN(1+$D$3),LN(1+$D$4),LN(1+$D$5),LN(1+$D$6),LN(1+$D$7),LN(1+$D$8),LN(1+$D$9),LN(1+$D$10))-MIN(LN(1+$D$2),LN(1+$D$3),LN(1+$D$4),LN(1+$D$5),LN(1+$D$6),LN(1+$D$7),LN(1+$D$8),LN(1+$D$9),LN(1+$D$10)))</x:f>
        <x:v>0</x:v>
      </x:c>
      <x:c r="P4" s="24" t="n">
        <x:f>(LN(1+E4)-MIN(LN(1+$E$2),LN(1+$E$3),LN(1+$E$4),LN(1+$E$5),LN(1+$E$6),LN(1+$E$7),LN(1+$E$8),LN(1+$E$9),LN(1+$E$10)))/(MAX(LN(1+$E$2),LN(1+$E$3),LN(1+$E$4),LN(1+$E$5),LN(1+$E$6),LN(1+$E$7),LN(1+$E$8),LN(1+$E$9),LN(1+$E$10))-MIN(LN(1+$E$2),LN(1+$E$3),LN(1+$E$4),LN(1+$E$5),LN(1+$E$6),LN(1+$E$7),LN(1+$E$8),LN(1+$E$9),LN(1+$E$10)))</x:f>
        <x:v>0.2093861951860186</x:v>
      </x:c>
      <x:c r="Q4" s="24" t="n">
        <x:f>(LN(1+F4)-MIN(LN(1+$F$2),LN(1+$F$3),LN(1+$F$4),LN(1+$F$5),LN(1+$F$6),LN(1+$F$7),LN(1+$F$8),LN(1+$F$9),LN(1+$F$10)))/(MAX(LN(1+$F$2),LN(1+$F$3),LN(1+$F$4),LN(1+$F$5),LN(1+$F$6),LN(1+$F$7),LN(1+$F$8),LN(1+$F$9),LN(1+$F$10))-MIN(LN(1+$F$2),LN(1+$F$3),LN(1+$F$4),LN(1+$F$5),LN(1+$F$6),LN(1+$F$7),LN(1+$F$8),LN(1+$F$9),LN(1+$F$10)))</x:f>
        <x:v>0.41190481857838807</x:v>
      </x:c>
      <x:c r="R4" s="24" t="n">
        <x:f>(LN(1+G4)-MIN(LN(1+$G$2),LN(1+$G$3),LN(1+$G$4),LN(1+$G$5),LN(1+$G$6),LN(1+$G$7),LN(1+$G$8),LN(1+$G$9),LN(1+$G$10)))/(MAX(LN(1+$G$2),LN(1+$G$3),LN(1+$G$4),LN(1+$G$5),LN(1+$G$6),LN(1+$G$7),LN(1+$G$8),LN(1+$G$9),LN(1+$G$10))-MIN(LN(1+$G$2),LN(1+$G$3),LN(1+$G$4),LN(1+$G$5),LN(1+$G$6),LN(1+$G$7),LN(1+$G$8),LN(1+$G$9),LN(1+$G$10)))</x:f>
        <x:v>0.30985058315486547</x:v>
      </x:c>
      <x:c r="S4" s="24" t="n">
        <x:f>(H4-MIN($H$2:$H$10))/(MAX($H$2:$H$10)-MIN($H$2:$H$10))</x:f>
        <x:v>1</x:v>
      </x:c>
      <x:c r="T4" s="24" t="n">
        <x:f>(LN(1+I4)-MIN(LN(1+$I$2),LN(1+$I$3),LN(1+$I$4),LN(1+$I$5),LN(1+$I$6),LN(1+$I$7),LN(1+$I$8),LN(1+$I$9),LN(1+$I$10)))/(MAX(LN(1+$I$2),LN(1+$I$3),LN(1+$I$4),LN(1+$I$5),LN(1+$I$6),LN(1+$I$7),LN(1+$I$8),LN(1+$I$9),LN(1+$I$10))-MIN(LN(1+$I$2),LN(1+$I$3),LN(1+$I$4),LN(1+$I$5),LN(1+$I$6),LN(1+$I$7),LN(1+$I$8),LN(1+$I$9),LN(1+$I$10)))</x:f>
        <x:v>0.9171781962201941</x:v>
      </x:c>
      <x:c r="U4" s="24" t="n">
        <x:f>(LN(1+J4)-MIN(LN(1+$J$2),LN(1+$J$3),LN(1+$J$4),LN(1+$J$5),LN(1+$J$6),LN(1+$J$7),LN(1+$J$8),LN(1+$J$9),LN(1+$J$10)))/(MAX(LN(1+$J$2),LN(1+$J$3),LN(1+$J$4),LN(1+$J$5),LN(1+$J$6),LN(1+$J$7),LN(1+$J$8),LN(1+$J$9),LN(1+$J$10))-MIN(LN(1+$J$2),LN(1+$J$3),LN(1+$J$4),LN(1+$J$5),LN(1+$J$6),LN(1+$J$7),LN(1+$J$8),LN(1+$J$9),LN(1+$J$10)))</x:f>
        <x:v>1</x:v>
      </x:c>
      <x:c r="V4" s="24" t="n">
        <x:f>(LN(1+K4)-MIN(LN(1+$K$2),LN(1+$K$3),LN(1+$K$4),LN(1+$K$5),LN(1+$K$6),LN(1+$K$7),LN(1+$K$8),LN(1+$K$9),LN(1+$K$10)))/(MAX(LN(1+$K$2),LN(1+$K$3),LN(1+$K$4),LN(1+$K$5),LN(1+$K$6),LN(1+$K$7),LN(1+$K$8),LN(1+$K$9),LN(1+$K$10))-MIN(LN(1+$K$2),LN(1+$K$3),LN(1+$K$4),LN(1+$K$5),LN(1+$K$6),LN(1+$K$7),LN(1+$K$8),LN(1+$K$9),LN(1+$K$10)))</x:f>
        <x:v>0.8071394073032802</x:v>
      </x:c>
      <x:c r="W4" s="24" t="n">
        <x:f>AVERAGE(S4:V4)</x:f>
        <x:v>0.9310794008808686</x:v>
      </x:c>
      <x:c r="X4" s="24" t="n">
        <x:f>(L4-MIN($L$2:$L$10))/(MAX($L$2:$L$10)-MIN($L$2:$L$10))</x:f>
        <x:v>0</x:v>
      </x:c>
      <x:c r="Y4" s="24" t="n">
        <x:f>(M4-MIN($M$2:$M$10))/(MAX($M$2:$M$10)-MIN($M$2:$M$10))</x:f>
        <x:v>0</x:v>
      </x:c>
      <x:c r="Z4" s="24" t="n">
        <x:f>(N4-1)/2</x:f>
        <x:v>0.5</x:v>
      </x:c>
      <x:c r="AA4" s="24" t="n">
        <x:f>AVERAGE(O4,P4,Q4,W4,X4,Y4,Z4)</x:f>
        <x:v>0.2931957735207536</x:v>
      </x:c>
      <x:c r="AB4" s="24" t="n">
        <x:f>AVERAGE(O4,P4,R4,W4,X4,Y4,Z4)</x:f>
        <x:v>0.2786165970316789</x:v>
      </x:c>
      <x:c r="AC4" s="24" t="n">
        <x:f>AVERAGE((RANK.EQ(O4,$O$2:$O$10,1)-1)/8,(RANK.EQ(P4,$P$2:$P$10,1)-1)/8,(RANK.EQ(Q4,$Q$2:$Q$10,1)-1)/8,(RANK.EQ(W4,$W$2:$W$10,1)-1)/8,(RANK.EQ(X4,$X$2:$X$10,1)-1)/8,(RANK.EQ(Y4,$Y$2:$Y$10,1)-1)/8,(RANK.EQ(Z4,$Z$2:$Z$10,1)-1)/8)</x:f>
        <x:v>0.3392857142857143</x:v>
      </x:c>
      <x:c r="AD4" s="24" t="n">
        <x:f>AVERAGE((RANK.EQ(O4,$O$2:$O$10,1)-1)/8,(RANK.EQ(P4,$P$2:$P$10,1)-1)/8,(RANK.EQ(R4,$R$2:$R$10,1)-1)/8,(RANK.EQ(W4,$W$2:$W$10,1)-1)/8,(RANK.EQ(X4,$X$2:$X$10,1)-1)/8,(RANK.EQ(Y4,$Y$2:$Y$10,1)-1)/8,(RANK.EQ(Z4,$Z$2:$Z$10,1)-1)/8)</x:f>
        <x:v>0.32142857142857145</x:v>
      </x:c>
      <x:c r="AE4" s="24" t="n">
        <x:f>AVERAGE(P4,Q4,W4,X4,Y4,Z4)</x:f>
        <x:v>0.34206173577421256</x:v>
      </x:c>
      <x:c r="AF4" s="24" t="n">
        <x:f>AVERAGE(O4,Q4,W4,X4,Y4,Z4)</x:f>
        <x:v>0.3071640365765428</x:v>
      </x:c>
      <x:c r="AG4" s="24" t="n">
        <x:f>AVERAGE(O4,P4,W4,X4,Y4,Z4)</x:f>
        <x:v>0.2734109326778145</x:v>
      </x:c>
      <x:c r="AH4" s="24" t="n">
        <x:f>AVERAGE(O4,P4,Q4,X4,Y4,Z4)</x:f>
        <x:v>0.18688183562740113</x:v>
      </x:c>
      <x:c r="AI4" s="24" t="n">
        <x:f>AVERAGE(O4,P4,Q4,W4,Y4,Z4)</x:f>
        <x:v>0.34206173577421256</x:v>
      </x:c>
      <x:c r="AJ4" s="24" t="n">
        <x:f>AVERAGE(O4,P4,Q4,W4,X4,Z4)</x:f>
        <x:v>0.34206173577421256</x:v>
      </x:c>
      <x:c r="AK4" s="24" t="n">
        <x:f>AVERAGE(O4,P4,Q4,W4,X4,Y4)</x:f>
        <x:v>0.2587284024408792</x:v>
      </x:c>
      <x:c r="AL4" s="24" t="n">
        <x:f>AA4-AB4</x:f>
        <x:v>0.014579176489074697</x:v>
      </x:c>
      <x:c r="AM4" s="14" t="str">
        <x:v>Provisional score available</x:v>
      </x:c>
    </x:row>
    <x:row r="5">
      <x:c r="A5" s="14" t="str">
        <x:v>Dogri</x:v>
      </x:c>
      <x:c r="B5" s="14" t="str">
        <x:v>DOI</x:v>
      </x:c>
      <x:c r="C5" s="14" t="str">
        <x:v>Devanagari</x:v>
      </x:c>
      <x:c r="D5" s="14" t="n">
        <x:v>0</x:v>
      </x:c>
      <x:c r="E5" s="14" t="n">
        <x:v>0.37</x:v>
      </x:c>
      <x:c r="F5" s="14" t="n">
        <x:v>0.02</x:v>
      </x:c>
      <x:c r="G5" s="14" t="n">
        <x:v>0.02</x:v>
      </x:c>
      <x:c r="H5" s="14" t="n">
        <x:v>4</x:v>
      </x:c>
      <x:c r="I5" s="14" t="n">
        <x:v>164879</x:v>
      </x:c>
      <x:c r="J5" s="14" t="n">
        <x:v>263.22</x:v>
      </x:c>
      <x:c r="K5" s="14" t="n">
        <x:v>960</x:v>
      </x:c>
      <x:c r="L5" s="14" t="n">
        <x:v>1</x:v>
      </x:c>
      <x:c r="M5" s="14" t="n">
        <x:v>2</x:v>
      </x:c>
      <x:c r="N5" s="14" t="n">
        <x:v>2</x:v>
      </x:c>
      <x:c r="O5" s="24" t="n">
        <x:f>(LN(1+D5)-MIN(LN(1+$D$2),LN(1+$D$3),LN(1+$D$4),LN(1+$D$5),LN(1+$D$6),LN(1+$D$7),LN(1+$D$8),LN(1+$D$9),LN(1+$D$10)))/(MAX(LN(1+$D$2),LN(1+$D$3),LN(1+$D$4),LN(1+$D$5),LN(1+$D$6),LN(1+$D$7),LN(1+$D$8),LN(1+$D$9),LN(1+$D$10))-MIN(LN(1+$D$2),LN(1+$D$3),LN(1+$D$4),LN(1+$D$5),LN(1+$D$6),LN(1+$D$7),LN(1+$D$8),LN(1+$D$9),LN(1+$D$10)))</x:f>
        <x:v>0</x:v>
      </x:c>
      <x:c r="P5" s="24" t="n">
        <x:f>(LN(1+E5)-MIN(LN(1+$E$2),LN(1+$E$3),LN(1+$E$4),LN(1+$E$5),LN(1+$E$6),LN(1+$E$7),LN(1+$E$8),LN(1+$E$9),LN(1+$E$10)))/(MAX(LN(1+$E$2),LN(1+$E$3),LN(1+$E$4),LN(1+$E$5),LN(1+$E$6),LN(1+$E$7),LN(1+$E$8),LN(1+$E$9),LN(1+$E$10))-MIN(LN(1+$E$2),LN(1+$E$3),LN(1+$E$4),LN(1+$E$5),LN(1+$E$6),LN(1+$E$7),LN(1+$E$8),LN(1+$E$9),LN(1+$E$10)))</x:f>
        <x:v>0</x:v>
      </x:c>
      <x:c r="Q5" s="24" t="n">
        <x:f>(LN(1+F5)-MIN(LN(1+$F$2),LN(1+$F$3),LN(1+$F$4),LN(1+$F$5),LN(1+$F$6),LN(1+$F$7),LN(1+$F$8),LN(1+$F$9),LN(1+$F$10)))/(MAX(LN(1+$F$2),LN(1+$F$3),LN(1+$F$4),LN(1+$F$5),LN(1+$F$6),LN(1+$F$7),LN(1+$F$8),LN(1+$F$9),LN(1+$F$10))-MIN(LN(1+$F$2),LN(1+$F$3),LN(1+$F$4),LN(1+$F$5),LN(1+$F$6),LN(1+$F$7),LN(1+$F$8),LN(1+$F$9),LN(1+$F$10)))</x:f>
        <x:v>0</x:v>
      </x:c>
      <x:c r="R5" s="24" t="n">
        <x:f>(LN(1+G5)-MIN(LN(1+$G$2),LN(1+$G$3),LN(1+$G$4),LN(1+$G$5),LN(1+$G$6),LN(1+$G$7),LN(1+$G$8),LN(1+$G$9),LN(1+$G$10)))/(MAX(LN(1+$G$2),LN(1+$G$3),LN(1+$G$4),LN(1+$G$5),LN(1+$G$6),LN(1+$G$7),LN(1+$G$8),LN(1+$G$9),LN(1+$G$10))-MIN(LN(1+$G$2),LN(1+$G$3),LN(1+$G$4),LN(1+$G$5),LN(1+$G$6),LN(1+$G$7),LN(1+$G$8),LN(1+$G$9),LN(1+$G$10)))</x:f>
        <x:v>0.029529777431744668</x:v>
      </x:c>
      <x:c r="S5" s="24" t="n">
        <x:f>(H5-MIN($H$2:$H$10))/(MAX($H$2:$H$10)-MIN($H$2:$H$10))</x:f>
        <x:v>1</x:v>
      </x:c>
      <x:c r="T5" s="24" t="n">
        <x:f>(LN(1+I5)-MIN(LN(1+$I$2),LN(1+$I$3),LN(1+$I$4),LN(1+$I$5),LN(1+$I$6),LN(1+$I$7),LN(1+$I$8),LN(1+$I$9),LN(1+$I$10)))/(MAX(LN(1+$I$2),LN(1+$I$3),LN(1+$I$4),LN(1+$I$5),LN(1+$I$6),LN(1+$I$7),LN(1+$I$8),LN(1+$I$9),LN(1+$I$10))-MIN(LN(1+$I$2),LN(1+$I$3),LN(1+$I$4),LN(1+$I$5),LN(1+$I$6),LN(1+$I$7),LN(1+$I$8),LN(1+$I$9),LN(1+$I$10)))</x:f>
        <x:v>0.8840752394039584</x:v>
      </x:c>
      <x:c r="U5" s="24" t="n">
        <x:f>(LN(1+J5)-MIN(LN(1+$J$2),LN(1+$J$3),LN(1+$J$4),LN(1+$J$5),LN(1+$J$6),LN(1+$J$7),LN(1+$J$8),LN(1+$J$9),LN(1+$J$10)))/(MAX(LN(1+$J$2),LN(1+$J$3),LN(1+$J$4),LN(1+$J$5),LN(1+$J$6),LN(1+$J$7),LN(1+$J$8),LN(1+$J$9),LN(1+$J$10))-MIN(LN(1+$J$2),LN(1+$J$3),LN(1+$J$4),LN(1+$J$5),LN(1+$J$6),LN(1+$J$7),LN(1+$J$8),LN(1+$J$9),LN(1+$J$10)))</x:f>
        <x:v>0.6068910836767336</x:v>
      </x:c>
      <x:c r="V5" s="24" t="n">
        <x:f>(LN(1+K5)-MIN(LN(1+$K$2),LN(1+$K$3),LN(1+$K$4),LN(1+$K$5),LN(1+$K$6),LN(1+$K$7),LN(1+$K$8),LN(1+$K$9),LN(1+$K$10)))/(MAX(LN(1+$K$2),LN(1+$K$3),LN(1+$K$4),LN(1+$K$5),LN(1+$K$6),LN(1+$K$7),LN(1+$K$8),LN(1+$K$9),LN(1+$K$10))-MIN(LN(1+$K$2),LN(1+$K$3),LN(1+$K$4),LN(1+$K$5),LN(1+$K$6),LN(1+$K$7),LN(1+$K$8),LN(1+$K$9),LN(1+$K$10)))</x:f>
        <x:v>1</x:v>
      </x:c>
      <x:c r="W5" s="24" t="n">
        <x:f>AVERAGE(S5:V5)</x:f>
        <x:v>0.872741580770173</x:v>
      </x:c>
      <x:c r="X5" s="24" t="n">
        <x:f>(L5-MIN($L$2:$L$10))/(MAX($L$2:$L$10)-MIN($L$2:$L$10))</x:f>
        <x:v>0</x:v>
      </x:c>
      <x:c r="Y5" s="24" t="n">
        <x:f>(M5-MIN($M$2:$M$10))/(MAX($M$2:$M$10)-MIN($M$2:$M$10))</x:f>
        <x:v>0</x:v>
      </x:c>
      <x:c r="Z5" s="24" t="n">
        <x:f>(N5-1)/2</x:f>
        <x:v>0.5</x:v>
      </x:c>
      <x:c r="AA5" s="24" t="n">
        <x:f>AVERAGE(O5,P5,Q5,W5,X5,Y5,Z5)</x:f>
        <x:v>0.19610594011002472</x:v>
      </x:c>
      <x:c r="AB5" s="24" t="n">
        <x:f>AVERAGE(O5,P5,R5,W5,X5,Y5,Z5)</x:f>
        <x:v>0.2003244797431311</x:v>
      </x:c>
      <x:c r="AC5" s="24" t="n">
        <x:f>AVERAGE((RANK.EQ(O5,$O$2:$O$10,1)-1)/8,(RANK.EQ(P5,$P$2:$P$10,1)-1)/8,(RANK.EQ(Q5,$Q$2:$Q$10,1)-1)/8,(RANK.EQ(W5,$W$2:$W$10,1)-1)/8,(RANK.EQ(X5,$X$2:$X$10,1)-1)/8,(RANK.EQ(Y5,$Y$2:$Y$10,1)-1)/8,(RANK.EQ(Z5,$Z$2:$Z$10,1)-1)/8)</x:f>
        <x:v>0.14285714285714285</x:v>
      </x:c>
      <x:c r="AD5" s="24" t="n">
        <x:f>AVERAGE((RANK.EQ(O5,$O$2:$O$10,1)-1)/8,(RANK.EQ(P5,$P$2:$P$10,1)-1)/8,(RANK.EQ(R5,$R$2:$R$10,1)-1)/8,(RANK.EQ(W5,$W$2:$W$10,1)-1)/8,(RANK.EQ(X5,$X$2:$X$10,1)-1)/8,(RANK.EQ(Y5,$Y$2:$Y$10,1)-1)/8,(RANK.EQ(Z5,$Z$2:$Z$10,1)-1)/8)</x:f>
        <x:v>0.16071428571428573</x:v>
      </x:c>
      <x:c r="AE5" s="24" t="n">
        <x:f>AVERAGE(P5,Q5,W5,X5,Y5,Z5)</x:f>
        <x:v>0.2287902634616955</x:v>
      </x:c>
      <x:c r="AF5" s="24" t="n">
        <x:f>AVERAGE(O5,Q5,W5,X5,Y5,Z5)</x:f>
        <x:v>0.2287902634616955</x:v>
      </x:c>
      <x:c r="AG5" s="24" t="n">
        <x:f>AVERAGE(O5,P5,W5,X5,Y5,Z5)</x:f>
        <x:v>0.2287902634616955</x:v>
      </x:c>
      <x:c r="AH5" s="24" t="n">
        <x:f>AVERAGE(O5,P5,Q5,X5,Y5,Z5)</x:f>
        <x:v>0.08333333333333333</x:v>
      </x:c>
      <x:c r="AI5" s="24" t="n">
        <x:f>AVERAGE(O5,P5,Q5,W5,Y5,Z5)</x:f>
        <x:v>0.2287902634616955</x:v>
      </x:c>
      <x:c r="AJ5" s="24" t="n">
        <x:f>AVERAGE(O5,P5,Q5,W5,X5,Z5)</x:f>
        <x:v>0.2287902634616955</x:v>
      </x:c>
      <x:c r="AK5" s="24" t="n">
        <x:f>AVERAGE(O5,P5,Q5,W5,X5,Y5)</x:f>
        <x:v>0.14545693012836217</x:v>
      </x:c>
      <x:c r="AL5" s="24" t="n">
        <x:f>AA5-AB5</x:f>
        <x:v>-0.004218539633106394</x:v>
      </x:c>
      <x:c r="AM5" s="14" t="str">
        <x:v>Provisional score available</x:v>
      </x:c>
    </x:row>
    <x:row r="6">
      <x:c r="A6" s="14" t="str">
        <x:v>Konkani</x:v>
      </x:c>
      <x:c r="B6" s="14" t="str">
        <x:v>KON</x:v>
      </x:c>
      <x:c r="C6" s="14" t="str">
        <x:v>Devanagari</x:v>
      </x:c>
      <x:c r="D6" s="14" t="n">
        <x:v>3644</x:v>
      </x:c>
      <x:c r="E6" s="14" t="n">
        <x:v>2.91</x:v>
      </x:c>
      <x:c r="F6" s="14" t="n">
        <x:v>0.1</x:v>
      </x:c>
      <x:c r="G6" s="14" t="n">
        <x:v>0.1</x:v>
      </x:c>
      <x:c r="H6" s="14" t="n">
        <x:v>4</x:v>
      </x:c>
      <x:c r="I6" s="14" t="n">
        <x:v>119450</x:v>
      </x:c>
      <x:c r="J6" s="14" t="n">
        <x:v>205.16</x:v>
      </x:c>
      <x:c r="K6" s="14" t="n">
        <x:v>767</x:v>
      </x:c>
      <x:c r="L6" s="14" t="n">
        <x:v>2</x:v>
      </x:c>
      <x:c r="M6" s="14" t="n">
        <x:v>2</x:v>
      </x:c>
      <x:c r="N6" s="14" t="n">
        <x:v>2</x:v>
      </x:c>
      <x:c r="O6" s="24" t="n">
        <x:f>(LN(1+D6)-MIN(LN(1+$D$2),LN(1+$D$3),LN(1+$D$4),LN(1+$D$5),LN(1+$D$6),LN(1+$D$7),LN(1+$D$8),LN(1+$D$9),LN(1+$D$10)))/(MAX(LN(1+$D$2),LN(1+$D$3),LN(1+$D$4),LN(1+$D$5),LN(1+$D$6),LN(1+$D$7),LN(1+$D$8),LN(1+$D$9),LN(1+$D$10))-MIN(LN(1+$D$2),LN(1+$D$3),LN(1+$D$4),LN(1+$D$5),LN(1+$D$6),LN(1+$D$7),LN(1+$D$8),LN(1+$D$9),LN(1+$D$10)))</x:f>
        <x:v>0.8193280657331202</x:v>
      </x:c>
      <x:c r="P6" s="24" t="n">
        <x:f>(LN(1+E6)-MIN(LN(1+$E$2),LN(1+$E$3),LN(1+$E$4),LN(1+$E$5),LN(1+$E$6),LN(1+$E$7),LN(1+$E$8),LN(1+$E$9),LN(1+$E$10)))/(MAX(LN(1+$E$2),LN(1+$E$3),LN(1+$E$4),LN(1+$E$5),LN(1+$E$6),LN(1+$E$7),LN(1+$E$8),LN(1+$E$9),LN(1+$E$10))-MIN(LN(1+$E$2),LN(1+$E$3),LN(1+$E$4),LN(1+$E$5),LN(1+$E$6),LN(1+$E$7),LN(1+$E$8),LN(1+$E$9),LN(1+$E$10)))</x:f>
        <x:v>0.25419961765528554</x:v>
      </x:c>
      <x:c r="Q6" s="24" t="n">
        <x:f>(LN(1+F6)-MIN(LN(1+$F$2),LN(1+$F$3),LN(1+$F$4),LN(1+$F$5),LN(1+$F$6),LN(1+$F$7),LN(1+$F$8),LN(1+$F$9),LN(1+$F$10)))/(MAX(LN(1+$F$2),LN(1+$F$3),LN(1+$F$4),LN(1+$F$5),LN(1+$F$6),LN(1+$F$7),LN(1+$F$8),LN(1+$F$9),LN(1+$F$10))-MIN(LN(1+$F$2),LN(1+$F$3),LN(1+$F$4),LN(1+$F$5),LN(1+$F$6),LN(1+$F$7),LN(1+$F$8),LN(1+$F$9),LN(1+$F$10)))</x:f>
        <x:v>0.33254822643723864</x:v>
      </x:c>
      <x:c r="R6" s="24" t="n">
        <x:f>(LN(1+G6)-MIN(LN(1+$G$2),LN(1+$G$3),LN(1+$G$4),LN(1+$G$5),LN(1+$G$6),LN(1+$G$7),LN(1+$G$8),LN(1+$G$9),LN(1+$G$10)))/(MAX(LN(1+$G$2),LN(1+$G$3),LN(1+$G$4),LN(1+$G$5),LN(1+$G$6),LN(1+$G$7),LN(1+$G$8),LN(1+$G$9),LN(1+$G$10))-MIN(LN(1+$G$2),LN(1+$G$3),LN(1+$G$4),LN(1+$G$5),LN(1+$G$6),LN(1+$G$7),LN(1+$G$8),LN(1+$G$9),LN(1+$G$10)))</x:f>
        <x:v>0.2558446506066045</x:v>
      </x:c>
      <x:c r="S6" s="24" t="n">
        <x:f>(H6-MIN($H$2:$H$10))/(MAX($H$2:$H$10)-MIN($H$2:$H$10))</x:f>
        <x:v>1</x:v>
      </x:c>
      <x:c r="T6" s="24" t="n">
        <x:f>(LN(1+I6)-MIN(LN(1+$I$2),LN(1+$I$3),LN(1+$I$4),LN(1+$I$5),LN(1+$I$6),LN(1+$I$7),LN(1+$I$8),LN(1+$I$9),LN(1+$I$10)))/(MAX(LN(1+$I$2),LN(1+$I$3),LN(1+$I$4),LN(1+$I$5),LN(1+$I$6),LN(1+$I$7),LN(1+$I$8),LN(1+$I$9),LN(1+$I$10))-MIN(LN(1+$I$2),LN(1+$I$3),LN(1+$I$4),LN(1+$I$5),LN(1+$I$6),LN(1+$I$7),LN(1+$I$8),LN(1+$I$9),LN(1+$I$10)))</x:f>
        <x:v>0.32152511787428173</x:v>
      </x:c>
      <x:c r="U6" s="24" t="n">
        <x:f>(LN(1+J6)-MIN(LN(1+$J$2),LN(1+$J$3),LN(1+$J$4),LN(1+$J$5),LN(1+$J$6),LN(1+$J$7),LN(1+$J$8),LN(1+$J$9),LN(1+$J$10)))/(MAX(LN(1+$J$2),LN(1+$J$3),LN(1+$J$4),LN(1+$J$5),LN(1+$J$6),LN(1+$J$7),LN(1+$J$8),LN(1+$J$9),LN(1+$J$10))-MIN(LN(1+$J$2),LN(1+$J$3),LN(1+$J$4),LN(1+$J$5),LN(1+$J$6),LN(1+$J$7),LN(1+$J$8),LN(1+$J$9),LN(1+$J$10)))</x:f>
        <x:v>0.4963987557593</x:v>
      </x:c>
      <x:c r="V6" s="24" t="n">
        <x:f>(LN(1+K6)-MIN(LN(1+$K$2),LN(1+$K$3),LN(1+$K$4),LN(1+$K$5),LN(1+$K$6),LN(1+$K$7),LN(1+$K$8),LN(1+$K$9),LN(1+$K$10)))/(MAX(LN(1+$K$2),LN(1+$K$3),LN(1+$K$4),LN(1+$K$5),LN(1+$K$6),LN(1+$K$7),LN(1+$K$8),LN(1+$K$9),LN(1+$K$10))-MIN(LN(1+$K$2),LN(1+$K$3),LN(1+$K$4),LN(1+$K$5),LN(1+$K$6),LN(1+$K$7),LN(1+$K$8),LN(1+$K$9),LN(1+$K$10)))</x:f>
        <x:v>0.452722399714389</x:v>
      </x:c>
      <x:c r="W6" s="24" t="n">
        <x:f>AVERAGE(S6:V6)</x:f>
        <x:v>0.5676615683369927</x:v>
      </x:c>
      <x:c r="X6" s="24" t="n">
        <x:f>(L6-MIN($L$2:$L$10))/(MAX($L$2:$L$10)-MIN($L$2:$L$10))</x:f>
        <x:v>0.5</x:v>
      </x:c>
      <x:c r="Y6" s="24" t="n">
        <x:f>(M6-MIN($M$2:$M$10))/(MAX($M$2:$M$10)-MIN($M$2:$M$10))</x:f>
        <x:v>0</x:v>
      </x:c>
      <x:c r="Z6" s="24" t="n">
        <x:f>(N6-1)/2</x:f>
        <x:v>0.5</x:v>
      </x:c>
      <x:c r="AA6" s="24" t="n">
        <x:f>AVERAGE(O6,P6,Q6,W6,X6,Y6,Z6)</x:f>
        <x:v>0.42481963973751957</x:v>
      </x:c>
      <x:c r="AB6" s="24" t="n">
        <x:f>AVERAGE(O6,P6,R6,W6,X6,Y6,Z6)</x:f>
        <x:v>0.41386198604742896</x:v>
      </x:c>
      <x:c r="AC6" s="24" t="n">
        <x:f>AVERAGE((RANK.EQ(O6,$O$2:$O$10,1)-1)/8,(RANK.EQ(P6,$P$2:$P$10,1)-1)/8,(RANK.EQ(Q6,$Q$2:$Q$10,1)-1)/8,(RANK.EQ(W6,$W$2:$W$10,1)-1)/8,(RANK.EQ(X6,$X$2:$X$10,1)-1)/8,(RANK.EQ(Y6,$Y$2:$Y$10,1)-1)/8,(RANK.EQ(Z6,$Z$2:$Z$10,1)-1)/8)</x:f>
        <x:v>0.3392857142857143</x:v>
      </x:c>
      <x:c r="AD6" s="24" t="n">
        <x:f>AVERAGE((RANK.EQ(O6,$O$2:$O$10,1)-1)/8,(RANK.EQ(P6,$P$2:$P$10,1)-1)/8,(RANK.EQ(R6,$R$2:$R$10,1)-1)/8,(RANK.EQ(W6,$W$2:$W$10,1)-1)/8,(RANK.EQ(X6,$X$2:$X$10,1)-1)/8,(RANK.EQ(Y6,$Y$2:$Y$10,1)-1)/8,(RANK.EQ(Z6,$Z$2:$Z$10,1)-1)/8)</x:f>
        <x:v>0.32142857142857145</x:v>
      </x:c>
      <x:c r="AE6" s="24" t="n">
        <x:f>AVERAGE(P6,Q6,W6,X6,Y6,Z6)</x:f>
        <x:v>0.3590682354049195</x:v>
      </x:c>
      <x:c r="AF6" s="24" t="n">
        <x:f>AVERAGE(O6,Q6,W6,X6,Y6,Z6)</x:f>
        <x:v>0.4532563100845586</x:v>
      </x:c>
      <x:c r="AG6" s="24" t="n">
        <x:f>AVERAGE(O6,P6,W6,X6,Y6,Z6)</x:f>
        <x:v>0.44019820862089976</x:v>
      </x:c>
      <x:c r="AH6" s="24" t="n">
        <x:f>AVERAGE(O6,P6,Q6,X6,Y6,Z6)</x:f>
        <x:v>0.4010126516376074</x:v>
      </x:c>
      <x:c r="AI6" s="24" t="n">
        <x:f>AVERAGE(O6,P6,Q6,W6,Y6,Z6)</x:f>
        <x:v>0.41228957969377283</x:v>
      </x:c>
      <x:c r="AJ6" s="24" t="n">
        <x:f>AVERAGE(O6,P6,Q6,W6,X6,Z6)</x:f>
        <x:v>0.49562291302710615</x:v>
      </x:c>
      <x:c r="AK6" s="24" t="n">
        <x:f>AVERAGE(O6,P6,Q6,W6,X6,Y6)</x:f>
        <x:v>0.41228957969377283</x:v>
      </x:c>
      <x:c r="AL6" s="24" t="n">
        <x:f>AA6-AB6</x:f>
        <x:v>0.010957653690090607</x:v>
      </x:c>
      <x:c r="AM6" s="14" t="str">
        <x:v>Provisional score available</x:v>
      </x:c>
    </x:row>
    <x:row r="7">
      <x:c r="A7" s="14" t="str">
        <x:v>Kashmiri</x:v>
      </x:c>
      <x:c r="B7" s="14" t="str">
        <x:v>KAS</x:v>
      </x:c>
      <x:c r="C7" s="14" t="str">
        <x:v>Perso-Arabic</x:v>
      </x:c>
      <x:c r="D7" s="14" t="n">
        <x:v>11619</x:v>
      </x:c>
      <x:c r="E7" s="14" t="n">
        <x:v>1.27</x:v>
      </x:c>
      <x:c r="F7" s="14" t="n">
        <x:v>0.15</x:v>
      </x:c>
      <x:c r="G7" s="14" t="n">
        <x:v>0.35</x:v>
      </x:c>
      <x:c r="H7" s="14" t="n">
        <x:v>4</x:v>
      </x:c>
      <x:c r="I7" s="14" t="n">
        <x:v>176202</x:v>
      </x:c>
      <x:c r="J7" s="14" t="n">
        <x:v>216.17</x:v>
      </x:c>
      <x:c r="K7" s="14" t="n">
        <x:v>839</x:v>
      </x:c>
      <x:c r="L7" s="14" t="n">
        <x:v>1</x:v>
      </x:c>
      <x:c r="M7" s="14" t="n">
        <x:v>2</x:v>
      </x:c>
      <x:c r="N7" s="14" t="n">
        <x:v>3</x:v>
      </x:c>
      <x:c r="O7" s="24" t="n">
        <x:f>(LN(1+D7)-MIN(LN(1+$D$2),LN(1+$D$3),LN(1+$D$4),LN(1+$D$5),LN(1+$D$6),LN(1+$D$7),LN(1+$D$8),LN(1+$D$9),LN(1+$D$10)))/(MAX(LN(1+$D$2),LN(1+$D$3),LN(1+$D$4),LN(1+$D$5),LN(1+$D$6),LN(1+$D$7),LN(1+$D$8),LN(1+$D$9),LN(1+$D$10))-MIN(LN(1+$D$2),LN(1+$D$3),LN(1+$D$4),LN(1+$D$5),LN(1+$D$6),LN(1+$D$7),LN(1+$D$8),LN(1+$D$9),LN(1+$D$10)))</x:f>
        <x:v>0.9351544995521482</x:v>
      </x:c>
      <x:c r="P7" s="24" t="n">
        <x:f>(LN(1+E7)-MIN(LN(1+$E$2),LN(1+$E$3),LN(1+$E$4),LN(1+$E$5),LN(1+$E$6),LN(1+$E$7),LN(1+$E$8),LN(1+$E$9),LN(1+$E$10)))/(MAX(LN(1+$E$2),LN(1+$E$3),LN(1+$E$4),LN(1+$E$5),LN(1+$E$6),LN(1+$E$7),LN(1+$E$8),LN(1+$E$9),LN(1+$E$10))-MIN(LN(1+$E$2),LN(1+$E$3),LN(1+$E$4),LN(1+$E$5),LN(1+$E$6),LN(1+$E$7),LN(1+$E$8),LN(1+$E$9),LN(1+$E$10)))</x:f>
        <x:v>0.12239886529548552</x:v>
      </x:c>
      <x:c r="Q7" s="24" t="n">
        <x:f>(LN(1+F7)-MIN(LN(1+$F$2),LN(1+$F$3),LN(1+$F$4),LN(1+$F$5),LN(1+$F$6),LN(1+$F$7),LN(1+$F$8),LN(1+$F$9),LN(1+$F$10)))/(MAX(LN(1+$F$2),LN(1+$F$3),LN(1+$F$4),LN(1+$F$5),LN(1+$F$6),LN(1+$F$7),LN(1+$F$8),LN(1+$F$9),LN(1+$F$10))-MIN(LN(1+$F$2),LN(1+$F$3),LN(1+$F$4),LN(1+$F$5),LN(1+$F$6),LN(1+$F$7),LN(1+$F$8),LN(1+$F$9),LN(1+$F$10)))</x:f>
        <x:v>0.5283214214874339</x:v>
      </x:c>
      <x:c r="R7" s="24" t="n">
        <x:f>(LN(1+G7)-MIN(LN(1+$G$2),LN(1+$G$3),LN(1+$G$4),LN(1+$G$5),LN(1+$G$6),LN(1+$G$7),LN(1+$G$8),LN(1+$G$9),LN(1+$G$10)))/(MAX(LN(1+$G$2),LN(1+$G$3),LN(1+$G$4),LN(1+$G$5),LN(1+$G$6),LN(1+$G$7),LN(1+$G$8),LN(1+$G$9),LN(1+$G$10))-MIN(LN(1+$G$2),LN(1+$G$3),LN(1+$G$4),LN(1+$G$5),LN(1+$G$6),LN(1+$G$7),LN(1+$G$8),LN(1+$G$9),LN(1+$G$10)))</x:f>
        <x:v>0.8696643280475164</x:v>
      </x:c>
      <x:c r="S7" s="24" t="n">
        <x:f>(H7-MIN($H$2:$H$10))/(MAX($H$2:$H$10)-MIN($H$2:$H$10))</x:f>
        <x:v>1</x:v>
      </x:c>
      <x:c r="T7" s="24" t="n">
        <x:f>(LN(1+I7)-MIN(LN(1+$I$2),LN(1+$I$3),LN(1+$I$4),LN(1+$I$5),LN(1+$I$6),LN(1+$I$7),LN(1+$I$8),LN(1+$I$9),LN(1+$I$10)))/(MAX(LN(1+$I$2),LN(1+$I$3),LN(1+$I$4),LN(1+$I$5),LN(1+$I$6),LN(1+$I$7),LN(1+$I$8),LN(1+$I$9),LN(1+$I$10))-MIN(LN(1+$I$2),LN(1+$I$3),LN(1+$I$4),LN(1+$I$5),LN(1+$I$6),LN(1+$I$7),LN(1+$I$8),LN(1+$I$9),LN(1+$I$10)))</x:f>
        <x:v>1</x:v>
      </x:c>
      <x:c r="U7" s="24" t="n">
        <x:f>(LN(1+J7)-MIN(LN(1+$J$2),LN(1+$J$3),LN(1+$J$4),LN(1+$J$5),LN(1+$J$6),LN(1+$J$7),LN(1+$J$8),LN(1+$J$9),LN(1+$J$10)))/(MAX(LN(1+$J$2),LN(1+$J$3),LN(1+$J$4),LN(1+$J$5),LN(1+$J$6),LN(1+$J$7),LN(1+$J$8),LN(1+$J$9),LN(1+$J$10))-MIN(LN(1+$J$2),LN(1+$J$3),LN(1+$J$4),LN(1+$J$5),LN(1+$J$6),LN(1+$J$7),LN(1+$J$8),LN(1+$J$9),LN(1+$J$10)))</x:f>
        <x:v>0.5195668281445409</x:v>
      </x:c>
      <x:c r="V7" s="24" t="n">
        <x:f>(LN(1+K7)-MIN(LN(1+$K$2),LN(1+$K$3),LN(1+$K$4),LN(1+$K$5),LN(1+$K$6),LN(1+$K$7),LN(1+$K$8),LN(1+$K$9),LN(1+$K$10)))/(MAX(LN(1+$K$2),LN(1+$K$3),LN(1+$K$4),LN(1+$K$5),LN(1+$K$6),LN(1+$K$7),LN(1+$K$8),LN(1+$K$9),LN(1+$K$10))-MIN(LN(1+$K$2),LN(1+$K$3),LN(1+$K$4),LN(1+$K$5),LN(1+$K$6),LN(1+$K$7),LN(1+$K$8),LN(1+$K$9),LN(1+$K$10)))</x:f>
        <x:v>0.6714827899335176</x:v>
      </x:c>
      <x:c r="W7" s="24" t="n">
        <x:f>AVERAGE(S7:V7)</x:f>
        <x:v>0.7977624045195146</x:v>
      </x:c>
      <x:c r="X7" s="24" t="n">
        <x:f>(L7-MIN($L$2:$L$10))/(MAX($L$2:$L$10)-MIN($L$2:$L$10))</x:f>
        <x:v>0</x:v>
      </x:c>
      <x:c r="Y7" s="24" t="n">
        <x:f>(M7-MIN($M$2:$M$10))/(MAX($M$2:$M$10)-MIN($M$2:$M$10))</x:f>
        <x:v>0</x:v>
      </x:c>
      <x:c r="Z7" s="24" t="n">
        <x:f>(N7-1)/2</x:f>
        <x:v>1</x:v>
      </x:c>
      <x:c r="AA7" s="24" t="n">
        <x:f>AVERAGE(O7,P7,Q7,W7,X7,Y7,Z7)</x:f>
        <x:v>0.4833767415506546</x:v>
      </x:c>
      <x:c r="AB7" s="24" t="n">
        <x:f>AVERAGE(O7,P7,R7,W7,X7,Y7,Z7)</x:f>
        <x:v>0.5321400139163808</x:v>
      </x:c>
      <x:c r="AC7" s="24" t="n">
        <x:f>AVERAGE((RANK.EQ(O7,$O$2:$O$10,1)-1)/8,(RANK.EQ(P7,$P$2:$P$10,1)-1)/8,(RANK.EQ(Q7,$Q$2:$Q$10,1)-1)/8,(RANK.EQ(W7,$W$2:$W$10,1)-1)/8,(RANK.EQ(X7,$X$2:$X$10,1)-1)/8,(RANK.EQ(Y7,$Y$2:$Y$10,1)-1)/8,(RANK.EQ(Z7,$Z$2:$Z$10,1)-1)/8)</x:f>
        <x:v>0.42857142857142855</x:v>
      </x:c>
      <x:c r="AD7" s="24" t="n">
        <x:f>AVERAGE((RANK.EQ(O7,$O$2:$O$10,1)-1)/8,(RANK.EQ(P7,$P$2:$P$10,1)-1)/8,(RANK.EQ(R7,$R$2:$R$10,1)-1)/8,(RANK.EQ(W7,$W$2:$W$10,1)-1)/8,(RANK.EQ(X7,$X$2:$X$10,1)-1)/8,(RANK.EQ(Y7,$Y$2:$Y$10,1)-1)/8,(RANK.EQ(Z7,$Z$2:$Z$10,1)-1)/8)</x:f>
        <x:v>0.42857142857142855</x:v>
      </x:c>
      <x:c r="AE7" s="24" t="n">
        <x:f>AVERAGE(P7,Q7,W7,X7,Y7,Z7)</x:f>
        <x:v>0.4080804485504057</x:v>
      </x:c>
      <x:c r="AF7" s="24" t="n">
        <x:f>AVERAGE(O7,Q7,W7,X7,Y7,Z7)</x:f>
        <x:v>0.5435397209265161</x:v>
      </x:c>
      <x:c r="AG7" s="24" t="n">
        <x:f>AVERAGE(O7,P7,W7,X7,Y7,Z7)</x:f>
        <x:v>0.47588596156119145</x:v>
      </x:c>
      <x:c r="AH7" s="24" t="n">
        <x:f>AVERAGE(O7,P7,Q7,X7,Y7,Z7)</x:f>
        <x:v>0.4309791310558446</x:v>
      </x:c>
      <x:c r="AI7" s="24" t="n">
        <x:f>AVERAGE(O7,P7,Q7,W7,Y7,Z7)</x:f>
        <x:v>0.5639395318090971</x:v>
      </x:c>
      <x:c r="AJ7" s="24" t="n">
        <x:f>AVERAGE(O7,P7,Q7,W7,X7,Z7)</x:f>
        <x:v>0.5639395318090971</x:v>
      </x:c>
      <x:c r="AK7" s="24" t="n">
        <x:f>AVERAGE(O7,P7,Q7,W7,X7,Y7)</x:f>
        <x:v>0.3972728651424304</x:v>
      </x:c>
      <x:c r="AL7" s="24" t="n">
        <x:f>AA7-AB7</x:f>
        <x:v>-0.048763272365726196</x:v>
      </x:c>
      <x:c r="AM7" s="14" t="str">
        <x:v>Provisional score available</x:v>
      </x:c>
    </x:row>
    <x:row r="8">
      <x:c r="A8" s="14" t="str">
        <x:v>Maithili</x:v>
      </x:c>
      <x:c r="B8" s="14" t="str">
        <x:v>MAI</x:v>
      </x:c>
      <x:c r="C8" s="14" t="str">
        <x:v>Devanagari</x:v>
      </x:c>
      <x:c r="D8" s="14" t="n">
        <x:v>14361</x:v>
      </x:c>
      <x:c r="E8" s="14" t="n">
        <x:v>1.51</x:v>
      </x:c>
      <x:c r="F8" s="14" t="n">
        <x:v>0.09</x:v>
      </x:c>
      <x:c r="G8" s="14" t="n">
        <x:v>0.09</x:v>
      </x:c>
      <x:c r="H8" s="14" t="n">
        <x:v>4</x:v>
      </x:c>
      <x:c r="I8" s="14" t="n">
        <x:v>138949</x:v>
      </x:c>
      <x:c r="J8" s="14" t="n">
        <x:v>473.07</x:v>
      </x:c>
      <x:c r="K8" s="14" t="n">
        <x:v>900</x:v>
      </x:c>
      <x:c r="L8" s="14" t="n">
        <x:v>3</x:v>
      </x:c>
      <x:c r="M8" s="14" t="n">
        <x:v>3</x:v>
      </x:c>
      <x:c r="N8" s="14" t="n">
        <x:v>2</x:v>
      </x:c>
      <x:c r="O8" s="24" t="n">
        <x:f>(LN(1+D8)-MIN(LN(1+$D$2),LN(1+$D$3),LN(1+$D$4),LN(1+$D$5),LN(1+$D$6),LN(1+$D$7),LN(1+$D$8),LN(1+$D$9),LN(1+$D$10)))/(MAX(LN(1+$D$2),LN(1+$D$3),LN(1+$D$4),LN(1+$D$5),LN(1+$D$6),LN(1+$D$7),LN(1+$D$8),LN(1+$D$9),LN(1+$D$10))-MIN(LN(1+$D$2),LN(1+$D$3),LN(1+$D$4),LN(1+$D$5),LN(1+$D$6),LN(1+$D$7),LN(1+$D$8),LN(1+$D$9),LN(1+$D$10)))</x:f>
        <x:v>0.9563200777078728</x:v>
      </x:c>
      <x:c r="P8" s="24" t="n">
        <x:f>(LN(1+E8)-MIN(LN(1+$E$2),LN(1+$E$3),LN(1+$E$4),LN(1+$E$5),LN(1+$E$6),LN(1+$E$7),LN(1+$E$8),LN(1+$E$9),LN(1+$E$10)))/(MAX(LN(1+$E$2),LN(1+$E$3),LN(1+$E$4),LN(1+$E$5),LN(1+$E$6),LN(1+$E$7),LN(1+$E$8),LN(1+$E$9),LN(1+$E$10))-MIN(LN(1+$E$2),LN(1+$E$3),LN(1+$E$4),LN(1+$E$5),LN(1+$E$6),LN(1+$E$7),LN(1+$E$8),LN(1+$E$9),LN(1+$E$10)))</x:f>
        <x:v>0.14675965048456036</x:v>
      </x:c>
      <x:c r="Q8" s="24" t="n">
        <x:f>(LN(1+F8)-MIN(LN(1+$F$2),LN(1+$F$3),LN(1+$F$4),LN(1+$F$5),LN(1+$F$6),LN(1+$F$7),LN(1+$F$8),LN(1+$F$9),LN(1+$F$10)))/(MAX(LN(1+$F$2),LN(1+$F$3),LN(1+$F$4),LN(1+$F$5),LN(1+$F$6),LN(1+$F$7),LN(1+$F$8),LN(1+$F$9),LN(1+$F$10))-MIN(LN(1+$F$2),LN(1+$F$3),LN(1+$F$4),LN(1+$F$5),LN(1+$F$6),LN(1+$F$7),LN(1+$F$8),LN(1+$F$9),LN(1+$F$10)))</x:f>
        <x:v>0.29232720071129026</x:v>
      </x:c>
      <x:c r="R8" s="24" t="n">
        <x:f>(LN(1+G8)-MIN(LN(1+$G$2),LN(1+$G$3),LN(1+$G$4),LN(1+$G$5),LN(1+$G$6),LN(1+$G$7),LN(1+$G$8),LN(1+$G$9),LN(1+$G$10)))/(MAX(LN(1+$G$2),LN(1+$G$3),LN(1+$G$4),LN(1+$G$5),LN(1+$G$6),LN(1+$G$7),LN(1+$G$8),LN(1+$G$9),LN(1+$G$10))-MIN(LN(1+$G$2),LN(1+$G$3),LN(1+$G$4),LN(1+$G$5),LN(1+$G$6),LN(1+$G$7),LN(1+$G$8),LN(1+$G$9),LN(1+$G$10)))</x:f>
        <x:v>0.22847233100757425</x:v>
      </x:c>
      <x:c r="S8" s="24" t="n">
        <x:f>(H8-MIN($H$2:$H$10))/(MAX($H$2:$H$10)-MIN($H$2:$H$10))</x:f>
        <x:v>1</x:v>
      </x:c>
      <x:c r="T8" s="24" t="n">
        <x:f>(LN(1+I8)-MIN(LN(1+$I$2),LN(1+$I$3),LN(1+$I$4),LN(1+$I$5),LN(1+$I$6),LN(1+$I$7),LN(1+$I$8),LN(1+$I$9),LN(1+$I$10)))/(MAX(LN(1+$I$2),LN(1+$I$3),LN(1+$I$4),LN(1+$I$5),LN(1+$I$6),LN(1+$I$7),LN(1+$I$8),LN(1+$I$9),LN(1+$I$10))-MIN(LN(1+$I$2),LN(1+$I$3),LN(1+$I$4),LN(1+$I$5),LN(1+$I$6),LN(1+$I$7),LN(1+$I$8),LN(1+$I$9),LN(1+$I$10)))</x:f>
        <x:v>0.5854374453057141</x:v>
      </x:c>
      <x:c r="U8" s="24" t="n">
        <x:f>(LN(1+J8)-MIN(LN(1+$J$2),LN(1+$J$3),LN(1+$J$4),LN(1+$J$5),LN(1+$J$6),LN(1+$J$7),LN(1+$J$8),LN(1+$J$9),LN(1+$J$10)))/(MAX(LN(1+$J$2),LN(1+$J$3),LN(1+$J$4),LN(1+$J$5),LN(1+$J$6),LN(1+$J$7),LN(1+$J$8),LN(1+$J$9),LN(1+$J$10))-MIN(LN(1+$J$2),LN(1+$J$3),LN(1+$J$4),LN(1+$J$5),LN(1+$J$6),LN(1+$J$7),LN(1+$J$8),LN(1+$J$9),LN(1+$J$10)))</x:f>
        <x:v>0.8672019883345462</x:v>
      </x:c>
      <x:c r="V8" s="24" t="n">
        <x:f>(LN(1+K8)-MIN(LN(1+$K$2),LN(1+$K$3),LN(1+$K$4),LN(1+$K$5),LN(1+$K$6),LN(1+$K$7),LN(1+$K$8),LN(1+$K$9),LN(1+$K$10)))/(MAX(LN(1+$K$2),LN(1+$K$3),LN(1+$K$4),LN(1+$K$5),LN(1+$K$6),LN(1+$K$7),LN(1+$K$8),LN(1+$K$9),LN(1+$K$10))-MIN(LN(1+$K$2),LN(1+$K$3),LN(1+$K$4),LN(1+$K$5),LN(1+$K$6),LN(1+$K$7),LN(1+$K$8),LN(1+$K$9),LN(1+$K$10)))</x:f>
        <x:v>0.8426184915612306</x:v>
      </x:c>
      <x:c r="W8" s="24" t="n">
        <x:f>AVERAGE(S8:V8)</x:f>
        <x:v>0.8238144813003727</x:v>
      </x:c>
      <x:c r="X8" s="24" t="n">
        <x:f>(L8-MIN($L$2:$L$10))/(MAX($L$2:$L$10)-MIN($L$2:$L$10))</x:f>
        <x:v>1</x:v>
      </x:c>
      <x:c r="Y8" s="24" t="n">
        <x:f>(M8-MIN($M$2:$M$10))/(MAX($M$2:$M$10)-MIN($M$2:$M$10))</x:f>
        <x:v>1</x:v>
      </x:c>
      <x:c r="Z8" s="24" t="n">
        <x:f>(N8-1)/2</x:f>
        <x:v>0.5</x:v>
      </x:c>
      <x:c r="AA8" s="24" t="n">
        <x:f>AVERAGE(O8,P8,Q8,W8,X8,Y8,Z8)</x:f>
        <x:v>0.6741744871720137</x:v>
      </x:c>
      <x:c r="AB8" s="24" t="n">
        <x:f>AVERAGE(O8,P8,R8,W8,X8,Y8,Z8)</x:f>
        <x:v>0.6650523629286258</x:v>
      </x:c>
      <x:c r="AC8" s="24" t="n">
        <x:f>AVERAGE((RANK.EQ(O8,$O$2:$O$10,1)-1)/8,(RANK.EQ(P8,$P$2:$P$10,1)-1)/8,(RANK.EQ(Q8,$Q$2:$Q$10,1)-1)/8,(RANK.EQ(W8,$W$2:$W$10,1)-1)/8,(RANK.EQ(X8,$X$2:$X$10,1)-1)/8,(RANK.EQ(Y8,$Y$2:$Y$10,1)-1)/8,(RANK.EQ(Z8,$Z$2:$Z$10,1)-1)/8)</x:f>
        <x:v>0.5892857142857143</x:v>
      </x:c>
      <x:c r="AD8" s="24" t="n">
        <x:f>AVERAGE((RANK.EQ(O8,$O$2:$O$10,1)-1)/8,(RANK.EQ(P8,$P$2:$P$10,1)-1)/8,(RANK.EQ(R8,$R$2:$R$10,1)-1)/8,(RANK.EQ(W8,$W$2:$W$10,1)-1)/8,(RANK.EQ(X8,$X$2:$X$10,1)-1)/8,(RANK.EQ(Y8,$Y$2:$Y$10,1)-1)/8,(RANK.EQ(Z8,$Z$2:$Z$10,1)-1)/8)</x:f>
        <x:v>0.5714285714285714</x:v>
      </x:c>
      <x:c r="AE8" s="24" t="n">
        <x:f>AVERAGE(P8,Q8,W8,X8,Y8,Z8)</x:f>
        <x:v>0.6271502220827039</x:v>
      </x:c>
      <x:c r="AF8" s="24" t="n">
        <x:f>AVERAGE(O8,Q8,W8,X8,Y8,Z8)</x:f>
        <x:v>0.762076959953256</x:v>
      </x:c>
      <x:c r="AG8" s="24" t="n">
        <x:f>AVERAGE(O8,P8,W8,X8,Y8,Z8)</x:f>
        <x:v>0.7378157015821344</x:v>
      </x:c>
      <x:c r="AH8" s="24" t="n">
        <x:f>AVERAGE(O8,P8,Q8,X8,Y8,Z8)</x:f>
        <x:v>0.6492344881506206</x:v>
      </x:c>
      <x:c r="AI8" s="24" t="n">
        <x:f>AVERAGE(O8,P8,Q8,W8,Y8,Z8)</x:f>
        <x:v>0.6198702350340161</x:v>
      </x:c>
      <x:c r="AJ8" s="24" t="n">
        <x:f>AVERAGE(O8,P8,Q8,W8,X8,Z8)</x:f>
        <x:v>0.6198702350340161</x:v>
      </x:c>
      <x:c r="AK8" s="24" t="n">
        <x:f>AVERAGE(O8,P8,Q8,W8,X8,Y8)</x:f>
        <x:v>0.7032035683673493</x:v>
      </x:c>
      <x:c r="AL8" s="24" t="n">
        <x:f>AA8-AB8</x:f>
        <x:v>0.009122124243387875</x:v>
      </x:c>
      <x:c r="AM8" s="14" t="str">
        <x:v>Provisional score available</x:v>
      </x:c>
    </x:row>
    <x:row r="9">
      <x:c r="A9" s="14" t="str">
        <x:v>Meitei (Manipuri)</x:v>
      </x:c>
      <x:c r="B9" s="14" t="str">
        <x:v>MNI</x:v>
      </x:c>
      <x:c r="C9" s="14" t="str">
        <x:v>Meitei Mayek</x:v>
      </x:c>
      <x:c r="D9" s="14" t="n">
        <x:v>10549</x:v>
      </x:c>
      <x:c r="E9" s="14" t="n">
        <x:v>0.99</x:v>
      </x:c>
      <x:c r="F9" s="14" t="n">
        <x:v>0.04</x:v>
      </x:c>
      <x:c r="G9" s="14" t="n">
        <x:v>0.41</x:v>
      </x:c>
      <x:c r="H9" s="14" t="n">
        <x:v>4</x:v>
      </x:c>
      <x:c r="I9" s="14" t="n">
        <x:v>157092</x:v>
      </x:c>
      <x:c r="J9" s="14" t="n">
        <x:v>112.47</x:v>
      </x:c>
      <x:c r="K9" s="14" t="n">
        <x:v>935</x:v>
      </x:c>
      <x:c r="L9" s="14" t="n">
        <x:v>3</x:v>
      </x:c>
      <x:c r="M9" s="14" t="n">
        <x:v>3</x:v>
      </x:c>
      <x:c r="N9" s="14" t="n">
        <x:v>3</x:v>
      </x:c>
      <x:c r="O9" s="24" t="n">
        <x:f>(LN(1+D9)-MIN(LN(1+$D$2),LN(1+$D$3),LN(1+$D$4),LN(1+$D$5),LN(1+$D$6),LN(1+$D$7),LN(1+$D$8),LN(1+$D$9),LN(1+$D$10)))/(MAX(LN(1+$D$2),LN(1+$D$3),LN(1+$D$4),LN(1+$D$5),LN(1+$D$6),LN(1+$D$7),LN(1+$D$8),LN(1+$D$9),LN(1+$D$10))-MIN(LN(1+$D$2),LN(1+$D$3),LN(1+$D$4),LN(1+$D$5),LN(1+$D$6),LN(1+$D$7),LN(1+$D$8),LN(1+$D$9),LN(1+$D$10)))</x:f>
        <x:v>0.9255035346169406</x:v>
      </x:c>
      <x:c r="P9" s="24" t="n">
        <x:f>(LN(1+E9)-MIN(LN(1+$E$2),LN(1+$E$3),LN(1+$E$4),LN(1+$E$5),LN(1+$E$6),LN(1+$E$7),LN(1+$E$8),LN(1+$E$9),LN(1+$E$10)))/(MAX(LN(1+$E$2),LN(1+$E$3),LN(1+$E$4),LN(1+$E$5),LN(1+$E$6),LN(1+$E$7),LN(1+$E$8),LN(1+$E$9),LN(1+$E$10))-MIN(LN(1+$E$2),LN(1+$E$3),LN(1+$E$4),LN(1+$E$5),LN(1+$E$6),LN(1+$E$7),LN(1+$E$8),LN(1+$E$9),LN(1+$E$10)))</x:f>
        <x:v>0.09048954157371808</x:v>
      </x:c>
      <x:c r="Q9" s="24" t="n">
        <x:f>(LN(1+F9)-MIN(LN(1+$F$2),LN(1+$F$3),LN(1+$F$4),LN(1+$F$5),LN(1+$F$6),LN(1+$F$7),LN(1+$F$8),LN(1+$F$9),LN(1+$F$10)))/(MAX(LN(1+$F$2),LN(1+$F$3),LN(1+$F$4),LN(1+$F$5),LN(1+$F$6),LN(1+$F$7),LN(1+$F$8),LN(1+$F$9),LN(1+$F$10))-MIN(LN(1+$F$2),LN(1+$F$3),LN(1+$F$4),LN(1+$F$5),LN(1+$F$6),LN(1+$F$7),LN(1+$F$8),LN(1+$F$9),LN(1+$F$10)))</x:f>
        <x:v>0.0855205843400709</x:v>
      </x:c>
      <x:c r="R9" s="24" t="n">
        <x:f>(LN(1+G9)-MIN(LN(1+$G$2),LN(1+$G$3),LN(1+$G$4),LN(1+$G$5),LN(1+$G$6),LN(1+$G$7),LN(1+$G$8),LN(1+$G$9),LN(1+$G$10)))/(MAX(LN(1+$G$2),LN(1+$G$3),LN(1+$G$4),LN(1+$G$5),LN(1+$G$6),LN(1+$G$7),LN(1+$G$8),LN(1+$G$9),LN(1+$G$10))-MIN(LN(1+$G$2),LN(1+$G$3),LN(1+$G$4),LN(1+$G$5),LN(1+$G$6),LN(1+$G$7),LN(1+$G$8),LN(1+$G$9),LN(1+$G$10)))</x:f>
        <x:v>1</x:v>
      </x:c>
      <x:c r="S9" s="24" t="n">
        <x:f>(H9-MIN($H$2:$H$10))/(MAX($H$2:$H$10)-MIN($H$2:$H$10))</x:f>
        <x:v>1</x:v>
      </x:c>
      <x:c r="T9" s="24" t="n">
        <x:f>(LN(1+I9)-MIN(LN(1+$I$2),LN(1+$I$3),LN(1+$I$4),LN(1+$I$5),LN(1+$I$6),LN(1+$I$7),LN(1+$I$8),LN(1+$I$9),LN(1+$I$10)))/(MAX(LN(1+$I$2),LN(1+$I$3),LN(1+$I$4),LN(1+$I$5),LN(1+$I$6),LN(1+$I$7),LN(1+$I$8),LN(1+$I$9),LN(1+$I$10))-MIN(LN(1+$I$2),LN(1+$I$3),LN(1+$I$4),LN(1+$I$5),LN(1+$I$6),LN(1+$I$7),LN(1+$I$8),LN(1+$I$9),LN(1+$I$10)))</x:f>
        <x:v>0.799634781750485</x:v>
      </x:c>
      <x:c r="U9" s="24" t="n">
        <x:f>(LN(1+J9)-MIN(LN(1+$J$2),LN(1+$J$3),LN(1+$J$4),LN(1+$J$5),LN(1+$J$6),LN(1+$J$7),LN(1+$J$8),LN(1+$J$9),LN(1+$J$10)))/(MAX(LN(1+$J$2),LN(1+$J$3),LN(1+$J$4),LN(1+$J$5),LN(1+$J$6),LN(1+$J$7),LN(1+$J$8),LN(1+$J$9),LN(1+$J$10))-MIN(LN(1+$J$2),LN(1+$J$3),LN(1+$J$4),LN(1+$J$5),LN(1+$J$6),LN(1+$J$7),LN(1+$J$8),LN(1+$J$9),LN(1+$J$10)))</x:f>
        <x:v>0.23050325055753634</x:v>
      </x:c>
      <x:c r="V9" s="24" t="n">
        <x:f>(LN(1+K9)-MIN(LN(1+$K$2),LN(1+$K$3),LN(1+$K$4),LN(1+$K$5),LN(1+$K$6),LN(1+$K$7),LN(1+$K$8),LN(1+$K$9),LN(1+$K$10)))/(MAX(LN(1+$K$2),LN(1+$K$3),LN(1+$K$4),LN(1+$K$5),LN(1+$K$6),LN(1+$K$7),LN(1+$K$8),LN(1+$K$9),LN(1+$K$10))-MIN(LN(1+$K$2),LN(1+$K$3),LN(1+$K$4),LN(1+$K$5),LN(1+$K$6),LN(1+$K$7),LN(1+$K$8),LN(1+$K$9),LN(1+$K$10)))</x:f>
        <x:v>0.9356528127189672</x:v>
      </x:c>
      <x:c r="W9" s="24" t="n">
        <x:f>AVERAGE(S9:V9)</x:f>
        <x:v>0.741447711256747</x:v>
      </x:c>
      <x:c r="X9" s="24" t="n">
        <x:f>(L9-MIN($L$2:$L$10))/(MAX($L$2:$L$10)-MIN($L$2:$L$10))</x:f>
        <x:v>1</x:v>
      </x:c>
      <x:c r="Y9" s="24" t="n">
        <x:f>(M9-MIN($M$2:$M$10))/(MAX($M$2:$M$10)-MIN($M$2:$M$10))</x:f>
        <x:v>1</x:v>
      </x:c>
      <x:c r="Z9" s="24" t="n">
        <x:f>(N9-1)/2</x:f>
        <x:v>1</x:v>
      </x:c>
      <x:c r="AA9" s="24" t="n">
        <x:f>AVERAGE(O9,P9,Q9,W9,X9,Y9,Z9)</x:f>
        <x:v>0.6918516245410681</x:v>
      </x:c>
      <x:c r="AB9" s="24" t="n">
        <x:f>AVERAGE(O9,P9,R9,W9,X9,Y9,Z9)</x:f>
        <x:v>0.8224915410639151</x:v>
      </x:c>
      <x:c r="AC9" s="24" t="n">
        <x:f>AVERAGE((RANK.EQ(O9,$O$2:$O$10,1)-1)/8,(RANK.EQ(P9,$P$2:$P$10,1)-1)/8,(RANK.EQ(Q9,$Q$2:$Q$10,1)-1)/8,(RANK.EQ(W9,$W$2:$W$10,1)-1)/8,(RANK.EQ(X9,$X$2:$X$10,1)-1)/8,(RANK.EQ(Y9,$Y$2:$Y$10,1)-1)/8,(RANK.EQ(Z9,$Z$2:$Z$10,1)-1)/8)</x:f>
        <x:v>0.5357142857142857</x:v>
      </x:c>
      <x:c r="AD9" s="24" t="n">
        <x:f>AVERAGE((RANK.EQ(O9,$O$2:$O$10,1)-1)/8,(RANK.EQ(P9,$P$2:$P$10,1)-1)/8,(RANK.EQ(R9,$R$2:$R$10,1)-1)/8,(RANK.EQ(W9,$W$2:$W$10,1)-1)/8,(RANK.EQ(X9,$X$2:$X$10,1)-1)/8,(RANK.EQ(Y9,$Y$2:$Y$10,1)-1)/8,(RANK.EQ(Z9,$Z$2:$Z$10,1)-1)/8)</x:f>
        <x:v>0.625</x:v>
      </x:c>
      <x:c r="AE9" s="24" t="n">
        <x:f>AVERAGE(P9,Q9,W9,X9,Y9,Z9)</x:f>
        <x:v>0.6529096395284227</x:v>
      </x:c>
      <x:c r="AF9" s="24" t="n">
        <x:f>AVERAGE(O9,Q9,W9,X9,Y9,Z9)</x:f>
        <x:v>0.7920786383689599</x:v>
      </x:c>
      <x:c r="AG9" s="24" t="n">
        <x:f>AVERAGE(O9,P9,W9,X9,Y9,Z9)</x:f>
        <x:v>0.792906797907901</x:v>
      </x:c>
      <x:c r="AH9" s="24" t="n">
        <x:f>AVERAGE(O9,P9,Q9,X9,Y9,Z9)</x:f>
        <x:v>0.6835856100884549</x:v>
      </x:c>
      <x:c r="AI9" s="24" t="n">
        <x:f>AVERAGE(O9,P9,Q9,W9,Y9,Z9)</x:f>
        <x:v>0.6404935619645794</x:v>
      </x:c>
      <x:c r="AJ9" s="24" t="n">
        <x:f>AVERAGE(O9,P9,Q9,W9,X9,Z9)</x:f>
        <x:v>0.6404935619645794</x:v>
      </x:c>
      <x:c r="AK9" s="24" t="n">
        <x:f>AVERAGE(O9,P9,Q9,W9,X9,Y9)</x:f>
        <x:v>0.6404935619645794</x:v>
      </x:c>
      <x:c r="AL9" s="24" t="n">
        <x:f>AA9-AB9</x:f>
        <x:v>-0.130639916522847</x:v>
      </x:c>
      <x:c r="AM9" s="14" t="str">
        <x:v>Provisional score available</x:v>
      </x:c>
    </x:row>
    <x:row r="10">
      <x:c r="A10" s="14" t="str">
        <x:v>Sindhi</x:v>
      </x:c>
      <x:c r="B10" s="14" t="str">
        <x:v>SND</x:v>
      </x:c>
      <x:c r="C10" s="14" t="str">
        <x:v>Perso-Arabic</x:v>
      </x:c>
      <x:c r="D10" s="14" t="n">
        <x:v>22237</x:v>
      </x:c>
      <x:c r="E10" s="14" t="n">
        <x:v>83.81</x:v>
      </x:c>
      <x:c r="F10" s="14" t="n">
        <x:v>0.025</x:v>
      </x:c>
      <x:c r="G10" s="14" t="n">
        <x:v>0.01</x:v>
      </x:c>
      <x:c r="H10" s="14" t="n">
        <x:v>4</x:v>
      </x:c>
      <x:c r="I10" s="14" t="n">
        <x:v>139742</x:v>
      </x:c>
      <x:c r="J10" s="14" t="n">
        <x:v>66.62</x:v>
      </x:c>
      <x:c r="K10" s="14" t="n">
        <x:v>637</x:v>
      </x:c>
      <x:c r="L10" s="14" t="n">
        <x:v>2</x:v>
      </x:c>
      <x:c r="M10" s="14" t="n">
        <x:v>2</x:v>
      </x:c>
      <x:c r="N10" s="14" t="n">
        <x:v>1</x:v>
      </x:c>
      <x:c r="O10" s="24" t="n">
        <x:f>(LN(1+D10)-MIN(LN(1+$D$2),LN(1+$D$3),LN(1+$D$4),LN(1+$D$5),LN(1+$D$6),LN(1+$D$7),LN(1+$D$8),LN(1+$D$9),LN(1+$D$10)))/(MAX(LN(1+$D$2),LN(1+$D$3),LN(1+$D$4),LN(1+$D$5),LN(1+$D$6),LN(1+$D$7),LN(1+$D$8),LN(1+$D$9),LN(1+$D$10))-MIN(LN(1+$D$2),LN(1+$D$3),LN(1+$D$4),LN(1+$D$5),LN(1+$D$6),LN(1+$D$7),LN(1+$D$8),LN(1+$D$9),LN(1+$D$10)))</x:f>
        <x:v>1</x:v>
      </x:c>
      <x:c r="P10" s="24" t="n">
        <x:f>(LN(1+E10)-MIN(LN(1+$E$2),LN(1+$E$3),LN(1+$E$4),LN(1+$E$5),LN(1+$E$6),LN(1+$E$7),LN(1+$E$8),LN(1+$E$9),LN(1+$E$10)))/(MAX(LN(1+$E$2),LN(1+$E$3),LN(1+$E$4),LN(1+$E$5),LN(1+$E$6),LN(1+$E$7),LN(1+$E$8),LN(1+$E$9),LN(1+$E$10))-MIN(LN(1+$E$2),LN(1+$E$3),LN(1+$E$4),LN(1+$E$5),LN(1+$E$6),LN(1+$E$7),LN(1+$E$8),LN(1+$E$9),LN(1+$E$10)))</x:f>
        <x:v>1</x:v>
      </x:c>
      <x:c r="Q10" s="24" t="n">
        <x:f>(LN(1+F10)-MIN(LN(1+$F$2),LN(1+$F$3),LN(1+$F$4),LN(1+$F$5),LN(1+$F$6),LN(1+$F$7),LN(1+$F$8),LN(1+$F$9),LN(1+$F$10)))/(MAX(LN(1+$F$2),LN(1+$F$3),LN(1+$F$4),LN(1+$F$5),LN(1+$F$6),LN(1+$F$7),LN(1+$F$8),LN(1+$F$9),LN(1+$F$10))-MIN(LN(1+$F$2),LN(1+$F$3),LN(1+$F$4),LN(1+$F$5),LN(1+$F$6),LN(1+$F$7),LN(1+$F$8),LN(1+$F$9),LN(1+$F$10)))</x:f>
        <x:v>0.021536334881364423</x:v>
      </x:c>
      <x:c r="R10" s="24" t="n">
        <x:f>(LN(1+G10)-MIN(LN(1+$G$2),LN(1+$G$3),LN(1+$G$4),LN(1+$G$5),LN(1+$G$6),LN(1+$G$7),LN(1+$G$8),LN(1+$G$9),LN(1+$G$10)))/(MAX(LN(1+$G$2),LN(1+$G$3),LN(1+$G$4),LN(1+$G$5),LN(1+$G$6),LN(1+$G$7),LN(1+$G$8),LN(1+$G$9),LN(1+$G$10))-MIN(LN(1+$G$2),LN(1+$G$3),LN(1+$G$4),LN(1+$G$5),LN(1+$G$6),LN(1+$G$7),LN(1+$G$8),LN(1+$G$9),LN(1+$G$10)))</x:f>
        <x:v>0</x:v>
      </x:c>
      <x:c r="S10" s="24" t="n">
        <x:f>(H10-MIN($H$2:$H$10))/(MAX($H$2:$H$10)-MIN($H$2:$H$10))</x:f>
        <x:v>1</x:v>
      </x:c>
      <x:c r="T10" s="24" t="n">
        <x:f>(LN(1+I10)-MIN(LN(1+$I$2),LN(1+$I$3),LN(1+$I$4),LN(1+$I$5),LN(1+$I$6),LN(1+$I$7),LN(1+$I$8),LN(1+$I$9),LN(1+$I$10)))/(MAX(LN(1+$I$2),LN(1+$I$3),LN(1+$I$4),LN(1+$I$5),LN(1+$I$6),LN(1+$I$7),LN(1+$I$8),LN(1+$I$9),LN(1+$I$10))-MIN(LN(1+$I$2),LN(1+$I$3),LN(1+$I$4),LN(1+$I$5),LN(1+$I$6),LN(1+$I$7),LN(1+$I$8),LN(1+$I$9),LN(1+$I$10)))</x:f>
        <x:v>0.5953700570225445</x:v>
      </x:c>
      <x:c r="U10" s="24" t="n">
        <x:f>(LN(1+J10)-MIN(LN(1+$J$2),LN(1+$J$3),LN(1+$J$4),LN(1+$J$5),LN(1+$J$6),LN(1+$J$7),LN(1+$J$8),LN(1+$J$9),LN(1+$J$10)))/(MAX(LN(1+$J$2),LN(1+$J$3),LN(1+$J$4),LN(1+$J$5),LN(1+$J$6),LN(1+$J$7),LN(1+$J$8),LN(1+$J$9),LN(1+$J$10))-MIN(LN(1+$J$2),LN(1+$J$3),LN(1+$J$4),LN(1+$J$5),LN(1+$J$6),LN(1+$J$7),LN(1+$J$8),LN(1+$J$9),LN(1+$J$10)))</x:f>
        <x:v>0</x:v>
      </x:c>
      <x:c r="V10" s="24" t="n">
        <x:f>(LN(1+K10)-MIN(LN(1+$K$2),LN(1+$K$3),LN(1+$K$4),LN(1+$K$5),LN(1+$K$6),LN(1+$K$7),LN(1+$K$8),LN(1+$K$9),LN(1+$K$10)))/(MAX(LN(1+$K$2),LN(1+$K$3),LN(1+$K$4),LN(1+$K$5),LN(1+$K$6),LN(1+$K$7),LN(1+$K$8),LN(1+$K$9),LN(1+$K$10))-MIN(LN(1+$K$2),LN(1+$K$3),LN(1+$K$4),LN(1+$K$5),LN(1+$K$6),LN(1+$K$7),LN(1+$K$8),LN(1+$K$9),LN(1+$K$10)))</x:f>
        <x:v>0</x:v>
      </x:c>
      <x:c r="W10" s="24" t="n">
        <x:f>AVERAGE(S10:V10)</x:f>
        <x:v>0.3988425142556361</x:v>
      </x:c>
      <x:c r="X10" s="24" t="n">
        <x:f>(L10-MIN($L$2:$L$10))/(MAX($L$2:$L$10)-MIN($L$2:$L$10))</x:f>
        <x:v>0.5</x:v>
      </x:c>
      <x:c r="Y10" s="24" t="n">
        <x:f>(M10-MIN($M$2:$M$10))/(MAX($M$2:$M$10)-MIN($M$2:$M$10))</x:f>
        <x:v>0</x:v>
      </x:c>
      <x:c r="Z10" s="24" t="n">
        <x:f>(N10-1)/2</x:f>
        <x:v>0</x:v>
      </x:c>
      <x:c r="AA10" s="24" t="n">
        <x:f>AVERAGE(O10,P10,Q10,W10,X10,Y10,Z10)</x:f>
        <x:v>0.41719697844814296</x:v>
      </x:c>
      <x:c r="AB10" s="24" t="n">
        <x:f>AVERAGE(O10,P10,R10,W10,X10,Y10,Z10)</x:f>
        <x:v>0.41412035917937656</x:v>
      </x:c>
      <x:c r="AC10" s="24" t="n">
        <x:f>AVERAGE((RANK.EQ(O10,$O$2:$O$10,1)-1)/8,(RANK.EQ(P10,$P$2:$P$10,1)-1)/8,(RANK.EQ(Q10,$Q$2:$Q$10,1)-1)/8,(RANK.EQ(W10,$W$2:$W$10,1)-1)/8,(RANK.EQ(X10,$X$2:$X$10,1)-1)/8,(RANK.EQ(Y10,$Y$2:$Y$10,1)-1)/8,(RANK.EQ(Z10,$Z$2:$Z$10,1)-1)/8)</x:f>
        <x:v>0.39285714285714285</x:v>
      </x:c>
      <x:c r="AD10" s="24" t="n">
        <x:f>AVERAGE((RANK.EQ(O10,$O$2:$O$10,1)-1)/8,(RANK.EQ(P10,$P$2:$P$10,1)-1)/8,(RANK.EQ(R10,$R$2:$R$10,1)-1)/8,(RANK.EQ(W10,$W$2:$W$10,1)-1)/8,(RANK.EQ(X10,$X$2:$X$10,1)-1)/8,(RANK.EQ(Y10,$Y$2:$Y$10,1)-1)/8,(RANK.EQ(Z10,$Z$2:$Z$10,1)-1)/8)</x:f>
        <x:v>0.35714285714285715</x:v>
      </x:c>
      <x:c r="AE10" s="24" t="n">
        <x:f>AVERAGE(P10,Q10,W10,X10,Y10,Z10)</x:f>
        <x:v>0.32006314152283344</x:v>
      </x:c>
      <x:c r="AF10" s="24" t="n">
        <x:f>AVERAGE(O10,Q10,W10,X10,Y10,Z10)</x:f>
        <x:v>0.32006314152283344</x:v>
      </x:c>
      <x:c r="AG10" s="24" t="n">
        <x:f>AVERAGE(O10,P10,W10,X10,Y10,Z10)</x:f>
        <x:v>0.483140419042606</x:v>
      </x:c>
      <x:c r="AH10" s="24" t="n">
        <x:f>AVERAGE(O10,P10,Q10,X10,Y10,Z10)</x:f>
        <x:v>0.4202560558135608</x:v>
      </x:c>
      <x:c r="AI10" s="24" t="n">
        <x:f>AVERAGE(O10,P10,Q10,W10,Y10,Z10)</x:f>
        <x:v>0.40339647485616675</x:v>
      </x:c>
      <x:c r="AJ10" s="24" t="n">
        <x:f>AVERAGE(O10,P10,Q10,W10,X10,Z10)</x:f>
        <x:v>0.4867298081895001</x:v>
      </x:c>
      <x:c r="AK10" s="24" t="n">
        <x:f>AVERAGE(O10,P10,Q10,W10,X10,Y10)</x:f>
        <x:v>0.4867298081895001</x:v>
      </x:c>
      <x:c r="AL10" s="24" t="n">
        <x:f>AA10-AB10</x:f>
        <x:v>0.0030766192687664007</x:v>
      </x:c>
      <x:c r="AM10" s="14" t="str">
        <x:v>Primary-script Perso-Arabic Sindhi-English parallel evidence verified; score now available</x:v>
      </x:c>
    </x:row>
  </x:sheetData>
  <x:conditionalFormatting sqref="O2:O1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{43C6AC78-2AEB-3B66-AACD-C365D7EB917B}</x14:id>
        </x:ext>
      </x:extLst>
    </x:cfRule>
  </x:conditionalFormatting>
  <x:conditionalFormatting sqref="P2:P10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{EA566C48-C78B-197E-5B7D-8CF5AA338796}</x14:id>
        </x:ext>
      </x:extLst>
    </x:cfRule>
  </x:conditionalFormatting>
  <x:conditionalFormatting sqref="Q2:Q10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{EF941BE6-B3F8-ABFE-B9D1-380004FEA815}</x14:id>
        </x:ext>
      </x:extLst>
    </x:cfRule>
  </x:conditionalFormatting>
  <x:conditionalFormatting sqref="R2:R10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{5A7CB50C-0131-998F-D282-5B07ED0405D9}</x14:id>
        </x:ext>
      </x:extLst>
    </x:cfRule>
  </x:conditionalFormatting>
  <x:conditionalFormatting sqref="S2:S10">
    <x:cfRule type="dataBar" priority="5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{3C3ADEB0-1BA4-1938-1212-C5E46929E5C7}</x14:id>
        </x:ext>
      </x:extLst>
    </x:cfRule>
  </x:conditionalFormatting>
  <x:conditionalFormatting sqref="T2:T10">
    <x:cfRule type="dataBar" priority="6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{DE6A880C-60DE-277D-9686-DBDC4379733A}</x14:id>
        </x:ext>
      </x:extLst>
    </x:cfRule>
  </x:conditionalFormatting>
  <x:conditionalFormatting sqref="U2:U10">
    <x:cfRule type="dataBar" priority="7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{82775260-3F0B-4F3A-7FB0-4442FFD7EE78}</x14:id>
        </x:ext>
      </x:extLst>
    </x:cfRule>
  </x:conditionalFormatting>
  <x:conditionalFormatting sqref="V2:V10">
    <x:cfRule type="dataBar" priority="8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{764FF113-289D-10CB-F591-22734A87C090}</x14:id>
        </x:ext>
      </x:extLst>
    </x:cfRule>
  </x:conditionalFormatting>
  <x:conditionalFormatting sqref="W2:W10">
    <x:cfRule type="dataBar" priority="9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{EA9466D1-2C6F-2B8E-D7B8-4D7EBB7A45A9}</x14:id>
        </x:ext>
      </x:extLst>
    </x:cfRule>
  </x:conditionalFormatting>
  <x:conditionalFormatting sqref="X2:X10">
    <x:cfRule type="dataBar" priority="10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{6E911BC0-CAB2-14B5-431F-0B9E4973A166}</x14:id>
        </x:ext>
      </x:extLst>
    </x:cfRule>
  </x:conditionalFormatting>
  <x:conditionalFormatting sqref="Y2:Y10">
    <x:cfRule type="dataBar" priority="1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{C6600BF3-7585-C1ED-72A0-1EE45175E5F8}</x14:id>
        </x:ext>
      </x:extLst>
    </x:cfRule>
  </x:conditionalFormatting>
  <x:conditionalFormatting sqref="Z2:Z10">
    <x:cfRule type="dataBar" priority="1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{A07A697E-7083-087B-F76F-C9E0FEB6E239}</x14:id>
        </x:ext>
      </x:extLst>
    </x:cfRule>
  </x:conditionalFormatting>
  <x:conditionalFormatting sqref="AA2:AA10">
    <x:cfRule type="dataBar" priority="1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{1A663C1D-2F57-E01E-5C8E-72CF98D4C4C4}</x14:id>
        </x:ext>
      </x:extLst>
    </x:cfRule>
  </x:conditionalFormatting>
  <x:conditionalFormatting sqref="AB2:AB10">
    <x:cfRule type="dataBar" priority="1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{CDABEA4A-E078-845E-3581-AEF186778AEF}</x14:id>
        </x:ext>
      </x:extLst>
    </x:cfRule>
  </x:conditionalFormatting>
  <x:conditionalFormatting sqref="AC2:AC10">
    <x:cfRule type="dataBar" priority="15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{B053188C-854A-BF8C-7642-DD59F0F547D6}</x14:id>
        </x:ext>
      </x:extLst>
    </x:cfRule>
  </x:conditionalFormatting>
  <x:conditionalFormatting sqref="AD2:AD10">
    <x:cfRule type="dataBar" priority="16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{1FBFE979-7733-0261-8BED-27600A4D2A9A}</x14:id>
        </x:ext>
      </x:extLst>
    </x:cfRule>
  </x:conditionalFormatting>
  <x:conditionalFormatting sqref="AE2:AE10">
    <x:cfRule type="dataBar" priority="17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{B8080908-5803-EF8F-21DF-D7811F242BA7}</x14:id>
        </x:ext>
      </x:extLst>
    </x:cfRule>
  </x:conditionalFormatting>
  <x:conditionalFormatting sqref="AF2:AF10">
    <x:cfRule type="dataBar" priority="18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{9152DD68-AFDB-1D71-5266-112513AB1B8C}</x14:id>
        </x:ext>
      </x:extLst>
    </x:cfRule>
  </x:conditionalFormatting>
  <x:conditionalFormatting sqref="AG2:AG10">
    <x:cfRule type="dataBar" priority="19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{4C3AF2AF-BDF3-B27A-0C62-8ACE0AEBA532}</x14:id>
        </x:ext>
      </x:extLst>
    </x:cfRule>
  </x:conditionalFormatting>
  <x:conditionalFormatting sqref="AH2:AH10">
    <x:cfRule type="dataBar" priority="20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{0B3D23B3-5007-1A08-1798-154DE68D4CAC}</x14:id>
        </x:ext>
      </x:extLst>
    </x:cfRule>
  </x:conditionalFormatting>
  <x:conditionalFormatting sqref="AI2:AI10">
    <x:cfRule type="dataBar" priority="2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{D13EE89D-AD3F-0D3D-59D1-10470238455A}</x14:id>
        </x:ext>
      </x:extLst>
    </x:cfRule>
  </x:conditionalFormatting>
  <x:conditionalFormatting sqref="AJ2:AJ10">
    <x:cfRule type="dataBar" priority="2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{03A3FF34-5BB5-F3A4-83DD-1F286E010DFE}</x14:id>
        </x:ext>
      </x:extLst>
    </x:cfRule>
  </x:conditionalFormatting>
  <x:conditionalFormatting sqref="AK2:AK10">
    <x:cfRule type="dataBar" priority="2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{09CA8814-D1EC-5D05-4362-BE7311E756CC}</x14:id>
        </x:ext>
      </x:extLst>
    </x:cfRule>
  </x:conditionalFormatting>
  <x:conditionalFormatting sqref="AL2:AL10">
    <x:cfRule type="dataBar" priority="2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{D7DA26DE-E7DC-9B03-199B-0CDEE4BE743C}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3C6AC78-2AEB-3B66-AACD-C365D7EB917B}">
            <x14:dataBar gradient="1">
              <x14:cfvo type="min"/>
              <x14:cfvo type="max"/>
              <x14:fillColor rgb="FFA02B93"/>
            </x14:dataBar>
          </x14:cfRule>
          <xm:sqref>O2:O10</xm:sqref>
        </x14:conditionalFormatting>
        <x14:conditionalFormatting>
          <x14:cfRule type="dataBar" priority="2" id="{EA566C48-C78B-197E-5B7D-8CF5AA338796}">
            <x14:dataBar gradient="1">
              <x14:cfvo type="min"/>
              <x14:cfvo type="max"/>
              <x14:fillColor rgb="FFA02B93"/>
            </x14:dataBar>
          </x14:cfRule>
          <xm:sqref>P2:P10</xm:sqref>
        </x14:conditionalFormatting>
        <x14:conditionalFormatting>
          <x14:cfRule type="dataBar" priority="3" id="{EF941BE6-B3F8-ABFE-B9D1-380004FEA815}">
            <x14:dataBar gradient="1">
              <x14:cfvo type="min"/>
              <x14:cfvo type="max"/>
              <x14:fillColor rgb="FFA02B93"/>
            </x14:dataBar>
          </x14:cfRule>
          <xm:sqref>Q2:Q10</xm:sqref>
        </x14:conditionalFormatting>
        <x14:conditionalFormatting>
          <x14:cfRule type="dataBar" priority="4" id="{5A7CB50C-0131-998F-D282-5B07ED0405D9}">
            <x14:dataBar gradient="1">
              <x14:cfvo type="min"/>
              <x14:cfvo type="max"/>
              <x14:fillColor rgb="FFA02B93"/>
            </x14:dataBar>
          </x14:cfRule>
          <xm:sqref>R2:R10</xm:sqref>
        </x14:conditionalFormatting>
        <x14:conditionalFormatting>
          <x14:cfRule type="dataBar" priority="5" id="{3C3ADEB0-1BA4-1938-1212-C5E46929E5C7}">
            <x14:dataBar gradient="1">
              <x14:cfvo type="min"/>
              <x14:cfvo type="max"/>
              <x14:fillColor rgb="FFA02B93"/>
            </x14:dataBar>
          </x14:cfRule>
          <xm:sqref>S2:S10</xm:sqref>
        </x14:conditionalFormatting>
        <x14:conditionalFormatting>
          <x14:cfRule type="dataBar" priority="6" id="{DE6A880C-60DE-277D-9686-DBDC4379733A}">
            <x14:dataBar gradient="1">
              <x14:cfvo type="min"/>
              <x14:cfvo type="max"/>
              <x14:fillColor rgb="FFA02B93"/>
            </x14:dataBar>
          </x14:cfRule>
          <xm:sqref>T2:T10</xm:sqref>
        </x14:conditionalFormatting>
        <x14:conditionalFormatting>
          <x14:cfRule type="dataBar" priority="7" id="{82775260-3F0B-4F3A-7FB0-4442FFD7EE78}">
            <x14:dataBar gradient="1">
              <x14:cfvo type="min"/>
              <x14:cfvo type="max"/>
              <x14:fillColor rgb="FFA02B93"/>
            </x14:dataBar>
          </x14:cfRule>
          <xm:sqref>U2:U10</xm:sqref>
        </x14:conditionalFormatting>
        <x14:conditionalFormatting>
          <x14:cfRule type="dataBar" priority="8" id="{764FF113-289D-10CB-F591-22734A87C090}">
            <x14:dataBar gradient="1">
              <x14:cfvo type="min"/>
              <x14:cfvo type="max"/>
              <x14:fillColor rgb="FFA02B93"/>
            </x14:dataBar>
          </x14:cfRule>
          <xm:sqref>V2:V10</xm:sqref>
        </x14:conditionalFormatting>
        <x14:conditionalFormatting>
          <x14:cfRule type="dataBar" priority="9" id="{EA9466D1-2C6F-2B8E-D7B8-4D7EBB7A45A9}">
            <x14:dataBar gradient="1">
              <x14:cfvo type="min"/>
              <x14:cfvo type="max"/>
              <x14:fillColor rgb="FFA02B93"/>
            </x14:dataBar>
          </x14:cfRule>
          <xm:sqref>W2:W10</xm:sqref>
        </x14:conditionalFormatting>
        <x14:conditionalFormatting>
          <x14:cfRule type="dataBar" priority="10" id="{6E911BC0-CAB2-14B5-431F-0B9E4973A166}">
            <x14:dataBar gradient="1">
              <x14:cfvo type="min"/>
              <x14:cfvo type="max"/>
              <x14:fillColor rgb="FFA02B93"/>
            </x14:dataBar>
          </x14:cfRule>
          <xm:sqref>X2:X10</xm:sqref>
        </x14:conditionalFormatting>
        <x14:conditionalFormatting>
          <x14:cfRule type="dataBar" priority="11" id="{C6600BF3-7585-C1ED-72A0-1EE45175E5F8}">
            <x14:dataBar gradient="1">
              <x14:cfvo type="min"/>
              <x14:cfvo type="max"/>
              <x14:fillColor rgb="FFA02B93"/>
            </x14:dataBar>
          </x14:cfRule>
          <xm:sqref>Y2:Y10</xm:sqref>
        </x14:conditionalFormatting>
        <x14:conditionalFormatting>
          <x14:cfRule type="dataBar" priority="12" id="{A07A697E-7083-087B-F76F-C9E0FEB6E239}">
            <x14:dataBar gradient="1">
              <x14:cfvo type="min"/>
              <x14:cfvo type="max"/>
              <x14:fillColor rgb="FFA02B93"/>
            </x14:dataBar>
          </x14:cfRule>
          <xm:sqref>Z2:Z10</xm:sqref>
        </x14:conditionalFormatting>
        <x14:conditionalFormatting>
          <x14:cfRule type="dataBar" priority="13" id="{1A663C1D-2F57-E01E-5C8E-72CF98D4C4C4}">
            <x14:dataBar gradient="1">
              <x14:cfvo type="min"/>
              <x14:cfvo type="max"/>
              <x14:fillColor rgb="FFA02B93"/>
            </x14:dataBar>
          </x14:cfRule>
          <xm:sqref>AA2:AA10</xm:sqref>
        </x14:conditionalFormatting>
        <x14:conditionalFormatting>
          <x14:cfRule type="dataBar" priority="14" id="{CDABEA4A-E078-845E-3581-AEF186778AEF}">
            <x14:dataBar gradient="1">
              <x14:cfvo type="min"/>
              <x14:cfvo type="max"/>
              <x14:fillColor rgb="FFA02B93"/>
            </x14:dataBar>
          </x14:cfRule>
          <xm:sqref>AB2:AB10</xm:sqref>
        </x14:conditionalFormatting>
        <x14:conditionalFormatting>
          <x14:cfRule type="dataBar" priority="15" id="{B053188C-854A-BF8C-7642-DD59F0F547D6}">
            <x14:dataBar gradient="1">
              <x14:cfvo type="min"/>
              <x14:cfvo type="max"/>
              <x14:fillColor rgb="FFA02B93"/>
            </x14:dataBar>
          </x14:cfRule>
          <xm:sqref>AC2:AC10</xm:sqref>
        </x14:conditionalFormatting>
        <x14:conditionalFormatting>
          <x14:cfRule type="dataBar" priority="16" id="{1FBFE979-7733-0261-8BED-27600A4D2A9A}">
            <x14:dataBar gradient="1">
              <x14:cfvo type="min"/>
              <x14:cfvo type="max"/>
              <x14:fillColor rgb="FFA02B93"/>
            </x14:dataBar>
          </x14:cfRule>
          <xm:sqref>AD2:AD10</xm:sqref>
        </x14:conditionalFormatting>
        <x14:conditionalFormatting>
          <x14:cfRule type="dataBar" priority="17" id="{B8080908-5803-EF8F-21DF-D7811F242BA7}">
            <x14:dataBar gradient="1">
              <x14:cfvo type="min"/>
              <x14:cfvo type="max"/>
              <x14:fillColor rgb="FFA02B93"/>
            </x14:dataBar>
          </x14:cfRule>
          <xm:sqref>AE2:AE10</xm:sqref>
        </x14:conditionalFormatting>
        <x14:conditionalFormatting>
          <x14:cfRule type="dataBar" priority="18" id="{9152DD68-AFDB-1D71-5266-112513AB1B8C}">
            <x14:dataBar gradient="1">
              <x14:cfvo type="min"/>
              <x14:cfvo type="max"/>
              <x14:fillColor rgb="FFA02B93"/>
            </x14:dataBar>
          </x14:cfRule>
          <xm:sqref>AF2:AF10</xm:sqref>
        </x14:conditionalFormatting>
        <x14:conditionalFormatting>
          <x14:cfRule type="dataBar" priority="19" id="{4C3AF2AF-BDF3-B27A-0C62-8ACE0AEBA532}">
            <x14:dataBar gradient="1">
              <x14:cfvo type="min"/>
              <x14:cfvo type="max"/>
              <x14:fillColor rgb="FFA02B93"/>
            </x14:dataBar>
          </x14:cfRule>
          <xm:sqref>AG2:AG10</xm:sqref>
        </x14:conditionalFormatting>
        <x14:conditionalFormatting>
          <x14:cfRule type="dataBar" priority="20" id="{0B3D23B3-5007-1A08-1798-154DE68D4CAC}">
            <x14:dataBar gradient="1">
              <x14:cfvo type="min"/>
              <x14:cfvo type="max"/>
              <x14:fillColor rgb="FFA02B93"/>
            </x14:dataBar>
          </x14:cfRule>
          <xm:sqref>AH2:AH10</xm:sqref>
        </x14:conditionalFormatting>
        <x14:conditionalFormatting>
          <x14:cfRule type="dataBar" priority="21" id="{D13EE89D-AD3F-0D3D-59D1-10470238455A}">
            <x14:dataBar gradient="1">
              <x14:cfvo type="min"/>
              <x14:cfvo type="max"/>
              <x14:fillColor rgb="FFA02B93"/>
            </x14:dataBar>
          </x14:cfRule>
          <xm:sqref>AI2:AI10</xm:sqref>
        </x14:conditionalFormatting>
        <x14:conditionalFormatting>
          <x14:cfRule type="dataBar" priority="22" id="{03A3FF34-5BB5-F3A4-83DD-1F286E010DFE}">
            <x14:dataBar gradient="1">
              <x14:cfvo type="min"/>
              <x14:cfvo type="max"/>
              <x14:fillColor rgb="FFA02B93"/>
            </x14:dataBar>
          </x14:cfRule>
          <xm:sqref>AJ2:AJ10</xm:sqref>
        </x14:conditionalFormatting>
        <x14:conditionalFormatting>
          <x14:cfRule type="dataBar" priority="23" id="{09CA8814-D1EC-5D05-4362-BE7311E756CC}">
            <x14:dataBar gradient="1">
              <x14:cfvo type="min"/>
              <x14:cfvo type="max"/>
              <x14:fillColor rgb="FFA02B93"/>
            </x14:dataBar>
          </x14:cfRule>
          <xm:sqref>AK2:AK10</xm:sqref>
        </x14:conditionalFormatting>
        <x14:conditionalFormatting>
          <x14:cfRule type="dataBar" priority="24" id="{D7DA26DE-E7DC-9B03-199B-0CDEE4BE743C}">
            <x14:dataBar gradient="1">
              <x14:cfvo type="min"/>
              <x14:cfvo type="max"/>
              <x14:fillColor rgb="FFA02B93"/>
            </x14:dataBar>
          </x14:cfRule>
          <xm:sqref>AL2:AL10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5" hidden="0" customWidth="1"/>
    <x:col min="4" max="4" width="78" hidden="0" customWidth="1"/>
    <x:col min="5" max="5" width="16" hidden="0" customWidth="1"/>
  </x:cols>
  <x:sheetData>
    <x:row r="1">
      <x:c r="A1" s="32" t="str">
        <x:v>language</x:v>
      </x:c>
      <x:c r="B1" s="32" t="str">
        <x:v>primary_script</x:v>
      </x:c>
      <x:c r="C1" s="32" t="str">
        <x:v>ordinal_score</x:v>
      </x:c>
      <x:c r="D1" s="32" t="str">
        <x:v>coding rationale</x:v>
      </x:c>
      <x:c r="E1" s="32" t="str">
        <x:v>status</x:v>
      </x:c>
    </x:row>
    <x:row r="2">
      <x:c r="A2" s="14" t="str">
        <x:v>Sanskrit</x:v>
      </x:c>
      <x:c r="B2" s="14" t="str">
        <x:v>Devanagari</x:v>
      </x:c>
      <x:c r="C2" s="14" t="n">
        <x:v>2</x:v>
      </x:c>
      <x:c r="D2" s="14" t="str">
        <x:v>General modern Devanagari computational support verified; no additional language-specific script advantage credited.</x:v>
      </x:c>
      <x:c r="E2" s="14" t="str">
        <x:v>Provisional</x:v>
      </x:c>
    </x:row>
    <x:row r="3">
      <x:c r="A3" s="14" t="str">
        <x:v>Santali</x:v>
      </x:c>
      <x:c r="B3" s="14" t="str">
        <x:v>Ol Chiki</x:v>
      </x:c>
      <x:c r="C3" s="14" t="n">
        <x:v>3</x:v>
      </x:c>
      <x:c r="D3" s="14" t="str">
        <x:v>Direct Ol Chiki MT/ASR and tokenizer/resource evidence verified.</x:v>
      </x:c>
      <x:c r="E3" s="14" t="str">
        <x:v>Provisional</x:v>
      </x:c>
    </x:row>
    <x:row r="4">
      <x:c r="A4" s="14" t="str">
        <x:v>Bodo</x:v>
      </x:c>
      <x:c r="B4" s="14" t="str">
        <x:v>Devanagari</x:v>
      </x:c>
      <x:c r="C4" s="14" t="n">
        <x:v>2</x:v>
      </x:c>
      <x:c r="D4" s="14" t="str">
        <x:v>General Devanagari support verified; no special script-specific increment credited.</x:v>
      </x:c>
      <x:c r="E4" s="14" t="str">
        <x:v>Provisional</x:v>
      </x:c>
    </x:row>
    <x:row r="5">
      <x:c r="A5" s="14" t="str">
        <x:v>Dogri</x:v>
      </x:c>
      <x:c r="B5" s="14" t="str">
        <x:v>Devanagari</x:v>
      </x:c>
      <x:c r="C5" s="14" t="n">
        <x:v>2</x:v>
      </x:c>
      <x:c r="D5" s="14" t="str">
        <x:v>General Devanagari support verified; no special script-specific increment credited.</x:v>
      </x:c>
      <x:c r="E5" s="14" t="str">
        <x:v>Provisional</x:v>
      </x:c>
    </x:row>
    <x:row r="6">
      <x:c r="A6" s="14" t="str">
        <x:v>Konkani</x:v>
      </x:c>
      <x:c r="B6" s="14" t="str">
        <x:v>Devanagari</x:v>
      </x:c>
      <x:c r="C6" s="14" t="n">
        <x:v>2</x:v>
      </x:c>
      <x:c r="D6" s="14" t="str">
        <x:v>Primary condition is Devanagari; alternative-script practices are not folded into this score.</x:v>
      </x:c>
      <x:c r="E6" s="14" t="str">
        <x:v>Provisional</x:v>
      </x:c>
    </x:row>
    <x:row r="7">
      <x:c r="A7" s="14" t="str">
        <x:v>Kashmiri</x:v>
      </x:c>
      <x:c r="B7" s="14" t="str">
        <x:v>Perso-Arabic</x:v>
      </x:c>
      <x:c r="C7" s="14" t="n">
        <x:v>3</x:v>
      </x:c>
      <x:c r="D7" s="14" t="str">
        <x:v>Arabic-script bitext is directly verified and alternative Devanagari resources are separately documented.</x:v>
      </x:c>
      <x:c r="E7" s="14" t="str">
        <x:v>Provisional</x:v>
      </x:c>
    </x:row>
    <x:row r="8">
      <x:c r="A8" s="14" t="str">
        <x:v>Maithili</x:v>
      </x:c>
      <x:c r="B8" s="14" t="str">
        <x:v>Devanagari</x:v>
      </x:c>
      <x:c r="C8" s="14" t="n">
        <x:v>2</x:v>
      </x:c>
      <x:c r="D8" s="14" t="str">
        <x:v>General Devanagari support verified; recent MaiBERT is captured under model/corpus rather than script score.</x:v>
      </x:c>
      <x:c r="E8" s="14" t="str">
        <x:v>Provisional</x:v>
      </x:c>
    </x:row>
    <x:row r="9">
      <x:c r="A9" s="14" t="str">
        <x:v>Meitei (Manipuri)</x:v>
      </x:c>
      <x:c r="B9" s="14" t="str">
        <x:v>Meitei Mayek</x:v>
      </x:c>
      <x:c r="C9" s="14" t="n">
        <x:v>3</x:v>
      </x:c>
      <x:c r="D9" s="14" t="str">
        <x:v>Direct Meitei-script bitext/tokenizer evidence verified; large Bengali-script resources are treated separately.</x:v>
      </x:c>
      <x:c r="E9" s="14" t="str">
        <x:v>Provisional</x:v>
      </x:c>
    </x:row>
    <x:row r="10">
      <x:c r="A10" s="14" t="str">
        <x:v>Sindhi</x:v>
      </x:c>
      <x:c r="B10" s="14" t="str">
        <x:v>Perso-Arabic</x:v>
      </x:c>
      <x:c r="C10" s="14" t="n">
        <x:v>1</x:v>
      </x:c>
      <x:c r="D10" s="14" t="str">
        <x:v>Current parallel evidence is Devanagari while primary benchmark script is Perso-Arabic; primary-script evidence is unresolved.</x:v>
      </x:c>
      <x:c r="E10" s="14" t="str">
        <x:v>Provisional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22" hidden="0" customWidth="1"/>
    <x:col min="4" max="4" width="24" hidden="0" customWidth="1"/>
    <x:col min="5" max="5" width="18" hidden="0" customWidth="1"/>
    <x:col min="6" max="6" width="20" hidden="0" customWidth="1"/>
  </x:cols>
  <x:sheetData>
    <x:row r="1">
      <x:c r="A1" s="20" t="str">
        <x:v>language</x:v>
      </x:c>
      <x:c r="B1" s="20" t="str">
        <x:v>code</x:v>
      </x:c>
      <x:c r="C1" s="20" t="str">
        <x:v>equal_weight_primary</x:v>
      </x:c>
      <x:c r="D1" s="20" t="str">
        <x:v>equal_weight_aggregate</x:v>
      </x:c>
      <x:c r="E1" s="20" t="str">
        <x:v>rank_primary</x:v>
      </x:c>
      <x:c r="F1" s="20" t="str">
        <x:v>rank_aggregate</x:v>
      </x:c>
    </x:row>
    <x:row r="2">
      <x:c r="A2" s="14" t="str">
        <x:v>Sanskrit</x:v>
      </x:c>
      <x:c r="B2" s="14" t="str">
        <x:v>SAN</x:v>
      </x:c>
      <x:c r="C2" s="24" t="n">
        <x:f>'LRAI_v1_Scoring'!AA2</x:f>
        <x:v>0.6885974406986953</x:v>
      </x:c>
      <x:c r="D2" s="24" t="n">
        <x:f>'LRAI_v1_Scoring'!AB2</x:f>
        <x:v>0.6471799127881935</x:v>
      </x:c>
      <x:c r="E2" s="24" t="n">
        <x:f>'LRAI_v1_Scoring'!AC2</x:f>
        <x:v>0.48214285714285715</x:v>
      </x:c>
      <x:c r="F2" s="24" t="n">
        <x:f>'LRAI_v1_Scoring'!AD2</x:f>
        <x:v>0.44642857142857145</x:v>
      </x:c>
    </x:row>
    <x:row r="3">
      <x:c r="A3" s="14" t="str">
        <x:v>Santali</x:v>
      </x:c>
      <x:c r="B3" s="14" t="str">
        <x:v>SAT</x:v>
      </x:c>
      <x:c r="C3" s="24" t="n">
        <x:f>'LRAI_v1_Scoring'!AA3</x:f>
        <x:v>0.453458833427051</x:v>
      </x:c>
      <x:c r="D3" s="24" t="n">
        <x:f>'LRAI_v1_Scoring'!AB3</x:f>
        <x:v>0.45767737306015743</x:v>
      </x:c>
      <x:c r="E3" s="24" t="n">
        <x:f>'LRAI_v1_Scoring'!AC3</x:f>
        <x:v>0.42857142857142855</x:v>
      </x:c>
      <x:c r="F3" s="24" t="n">
        <x:f>'LRAI_v1_Scoring'!AD3</x:f>
        <x:v>0.44642857142857145</x:v>
      </x:c>
    </x:row>
    <x:row r="4">
      <x:c r="A4" s="14" t="str">
        <x:v>Bodo</x:v>
      </x:c>
      <x:c r="B4" s="14" t="str">
        <x:v>BOD</x:v>
      </x:c>
      <x:c r="C4" s="24" t="n">
        <x:f>'LRAI_v1_Scoring'!AA4</x:f>
        <x:v>0.2931957735207536</x:v>
      </x:c>
      <x:c r="D4" s="24" t="n">
        <x:f>'LRAI_v1_Scoring'!AB4</x:f>
        <x:v>0.2786165970316789</x:v>
      </x:c>
      <x:c r="E4" s="24" t="n">
        <x:f>'LRAI_v1_Scoring'!AC4</x:f>
        <x:v>0.3392857142857143</x:v>
      </x:c>
      <x:c r="F4" s="24" t="n">
        <x:f>'LRAI_v1_Scoring'!AD4</x:f>
        <x:v>0.32142857142857145</x:v>
      </x:c>
    </x:row>
    <x:row r="5">
      <x:c r="A5" s="14" t="str">
        <x:v>Dogri</x:v>
      </x:c>
      <x:c r="B5" s="14" t="str">
        <x:v>DOI</x:v>
      </x:c>
      <x:c r="C5" s="24" t="n">
        <x:f>'LRAI_v1_Scoring'!AA5</x:f>
        <x:v>0.19610594011002472</x:v>
      </x:c>
      <x:c r="D5" s="24" t="n">
        <x:f>'LRAI_v1_Scoring'!AB5</x:f>
        <x:v>0.2003244797431311</x:v>
      </x:c>
      <x:c r="E5" s="24" t="n">
        <x:f>'LRAI_v1_Scoring'!AC5</x:f>
        <x:v>0.14285714285714285</x:v>
      </x:c>
      <x:c r="F5" s="24" t="n">
        <x:f>'LRAI_v1_Scoring'!AD5</x:f>
        <x:v>0.16071428571428573</x:v>
      </x:c>
    </x:row>
    <x:row r="6">
      <x:c r="A6" s="14" t="str">
        <x:v>Konkani</x:v>
      </x:c>
      <x:c r="B6" s="14" t="str">
        <x:v>KON</x:v>
      </x:c>
      <x:c r="C6" s="24" t="n">
        <x:f>'LRAI_v1_Scoring'!AA6</x:f>
        <x:v>0.42481963973751957</x:v>
      </x:c>
      <x:c r="D6" s="24" t="n">
        <x:f>'LRAI_v1_Scoring'!AB6</x:f>
        <x:v>0.41386198604742896</x:v>
      </x:c>
      <x:c r="E6" s="24" t="n">
        <x:f>'LRAI_v1_Scoring'!AC6</x:f>
        <x:v>0.3392857142857143</x:v>
      </x:c>
      <x:c r="F6" s="24" t="n">
        <x:f>'LRAI_v1_Scoring'!AD6</x:f>
        <x:v>0.32142857142857145</x:v>
      </x:c>
    </x:row>
    <x:row r="7">
      <x:c r="A7" s="14" t="str">
        <x:v>Kashmiri</x:v>
      </x:c>
      <x:c r="B7" s="14" t="str">
        <x:v>KAS</x:v>
      </x:c>
      <x:c r="C7" s="24" t="n">
        <x:f>'LRAI_v1_Scoring'!AA7</x:f>
        <x:v>0.4833767415506546</x:v>
      </x:c>
      <x:c r="D7" s="24" t="n">
        <x:f>'LRAI_v1_Scoring'!AB7</x:f>
        <x:v>0.5321400139163808</x:v>
      </x:c>
      <x:c r="E7" s="24" t="n">
        <x:f>'LRAI_v1_Scoring'!AC7</x:f>
        <x:v>0.42857142857142855</x:v>
      </x:c>
      <x:c r="F7" s="24" t="n">
        <x:f>'LRAI_v1_Scoring'!AD7</x:f>
        <x:v>0.42857142857142855</x:v>
      </x:c>
    </x:row>
    <x:row r="8">
      <x:c r="A8" s="14" t="str">
        <x:v>Maithili</x:v>
      </x:c>
      <x:c r="B8" s="14" t="str">
        <x:v>MAI</x:v>
      </x:c>
      <x:c r="C8" s="24" t="n">
        <x:f>'LRAI_v1_Scoring'!AA8</x:f>
        <x:v>0.6741744871720137</x:v>
      </x:c>
      <x:c r="D8" s="24" t="n">
        <x:f>'LRAI_v1_Scoring'!AB8</x:f>
        <x:v>0.6650523629286258</x:v>
      </x:c>
      <x:c r="E8" s="24" t="n">
        <x:f>'LRAI_v1_Scoring'!AC8</x:f>
        <x:v>0.5892857142857143</x:v>
      </x:c>
      <x:c r="F8" s="24" t="n">
        <x:f>'LRAI_v1_Scoring'!AD8</x:f>
        <x:v>0.5714285714285714</x:v>
      </x:c>
    </x:row>
    <x:row r="9">
      <x:c r="A9" s="14" t="str">
        <x:v>Meitei (Manipuri)</x:v>
      </x:c>
      <x:c r="B9" s="14" t="str">
        <x:v>MNI</x:v>
      </x:c>
      <x:c r="C9" s="24" t="n">
        <x:f>'LRAI_v1_Scoring'!AA9</x:f>
        <x:v>0.6918516245410681</x:v>
      </x:c>
      <x:c r="D9" s="24" t="n">
        <x:f>'LRAI_v1_Scoring'!AB9</x:f>
        <x:v>0.8224915410639151</x:v>
      </x:c>
      <x:c r="E9" s="24" t="n">
        <x:f>'LRAI_v1_Scoring'!AC9</x:f>
        <x:v>0.5357142857142857</x:v>
      </x:c>
      <x:c r="F9" s="24" t="n">
        <x:f>'LRAI_v1_Scoring'!AD9</x:f>
        <x:v>0.625</x:v>
      </x:c>
    </x:row>
    <x:row r="10">
      <x:c r="A10" s="14" t="str">
        <x:v>Sindhi</x:v>
      </x:c>
      <x:c r="B10" s="14" t="str">
        <x:v>SND</x:v>
      </x:c>
      <x:c r="C10" s="24" t="n">
        <x:f>'LRAI_v1_Scoring'!AA10</x:f>
        <x:v>0.41719697844814296</x:v>
      </x:c>
      <x:c r="D10" s="24" t="n">
        <x:f>'LRAI_v1_Scoring'!AB10</x:f>
        <x:v>0.41412035917937656</x:v>
      </x:c>
      <x:c r="E10" s="24" t="n">
        <x:f>'LRAI_v1_Scoring'!AC10</x:f>
        <x:v>0.39285714285714285</x:v>
      </x:c>
      <x:c r="F10" s="24" t="n">
        <x:f>'LRAI_v1_Scoring'!AD10</x:f>
        <x:v>0.35714285714285715</x:v>
      </x:c>
    </x:row>
  </x:sheetData>
  <x:conditionalFormatting sqref="C2:C1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{33513038-1879-62A2-C368-15073A204597}</x14:id>
        </x:ext>
      </x:extLst>
    </x:cfRule>
  </x:conditionalFormatting>
  <x:conditionalFormatting sqref="D2:D10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{18C6D986-470D-61AC-1737-013B4415CD61}</x14:id>
        </x:ext>
      </x:extLst>
    </x:cfRule>
  </x:conditionalFormatting>
  <x:conditionalFormatting sqref="E2:E10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{D307548A-1C08-4D9D-858B-7FF5528F0C30}</x14:id>
        </x:ext>
      </x:extLst>
    </x:cfRule>
  </x:conditionalFormatting>
  <x:conditionalFormatting sqref="F2:F10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{3A074C52-5E53-ED87-C6C1-F87A04C06A05}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aae644ffcc5641f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3513038-1879-62A2-C368-15073A204597}">
            <x14:dataBar gradient="1">
              <x14:cfvo type="min"/>
              <x14:cfvo type="max"/>
              <x14:fillColor rgb="FFA02B93"/>
            </x14:dataBar>
          </x14:cfRule>
          <xm:sqref>C2:C10</xm:sqref>
        </x14:conditionalFormatting>
        <x14:conditionalFormatting>
          <x14:cfRule type="dataBar" priority="2" id="{18C6D986-470D-61AC-1737-013B4415CD61}">
            <x14:dataBar gradient="1">
              <x14:cfvo type="min"/>
              <x14:cfvo type="max"/>
              <x14:fillColor rgb="FFA02B93"/>
            </x14:dataBar>
          </x14:cfRule>
          <xm:sqref>D2:D10</xm:sqref>
        </x14:conditionalFormatting>
        <x14:conditionalFormatting>
          <x14:cfRule type="dataBar" priority="3" id="{D307548A-1C08-4D9D-858B-7FF5528F0C30}">
            <x14:dataBar gradient="1">
              <x14:cfvo type="min"/>
              <x14:cfvo type="max"/>
              <x14:fillColor rgb="FFA02B93"/>
            </x14:dataBar>
          </x14:cfRule>
          <xm:sqref>E2:E10</xm:sqref>
        </x14:conditionalFormatting>
        <x14:conditionalFormatting>
          <x14:cfRule type="dataBar" priority="4" id="{3A074C52-5E53-ED87-C6C1-F87A04C06A05}">
            <x14:dataBar gradient="1">
              <x14:cfvo type="min"/>
              <x14:cfvo type="max"/>
              <x14:fillColor rgb="FFA02B93"/>
            </x14:dataBar>
          </x14:cfRule>
          <xm:sqref>F2:F10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5" hidden="0" customWidth="1"/>
    <x:col min="4" max="4" width="17" hidden="0" customWidth="1"/>
    <x:col min="5" max="5" width="14" hidden="0" customWidth="1"/>
    <x:col min="6" max="6" width="16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20" hidden="0" customWidth="1"/>
    <x:col min="12" max="12" width="24" hidden="0" customWidth="1"/>
    <x:col min="13" max="13" width="14" hidden="0" customWidth="1"/>
    <x:col min="14" max="14" width="55" hidden="0" customWidth="1"/>
    <x:col min="16" max="16" width="30" hidden="0" customWidth="1"/>
    <x:col min="17" max="17" width="24" hidden="0" customWidth="1"/>
  </x:cols>
  <x:sheetData>
    <x:row r="1">
      <x:c r="A1" s="40" t="str">
        <x:v>language</x:v>
      </x:c>
      <x:c r="B1" s="40" t="str">
        <x:v>code</x:v>
      </x:c>
      <x:c r="C1" s="40" t="str">
        <x:v>primary_LRAI</x:v>
      </x:c>
      <x:c r="D1" s="40" t="str">
        <x:v>aggregate_LRAI</x:v>
      </x:c>
      <x:c r="E1" s="40" t="str">
        <x:v>primary_rank</x:v>
      </x:c>
      <x:c r="F1" s="40" t="str">
        <x:v>aggregate_rank</x:v>
      </x:c>
      <x:c r="G1" s="40" t="str">
        <x:v>rank_shift_abs</x:v>
      </x:c>
      <x:c r="H1" s="40" t="str">
        <x:v>min_LOO</x:v>
      </x:c>
      <x:c r="I1" s="40" t="str">
        <x:v>max_LOO</x:v>
      </x:c>
      <x:c r="J1" s="40" t="str">
        <x:v>LOO_range</x:v>
      </x:c>
      <x:c r="K1" s="40" t="str">
        <x:v>max_abs_LOO_deviation</x:v>
      </x:c>
      <x:c r="L1" s="40" t="str">
        <x:v>most_influential_component</x:v>
      </x:c>
      <x:c r="M1" s="40" t="str">
        <x:v>freeze_flag</x:v>
      </x:c>
      <x:c r="N1" s="40" t="str">
        <x:v>validation_note</x:v>
      </x:c>
      <x:c r="P1" s="42" t="str">
        <x:v>Validation metric</x:v>
      </x:c>
      <x:c r="Q1" s="42" t="str">
        <x:v>Value</x:v>
      </x:c>
    </x:row>
    <x:row r="2">
      <x:c r="A2" s="14" t="str">
        <x:f>'LRAI_v1_Scoring'!A2</x:f>
        <x:v>Sanskrit</x:v>
      </x:c>
      <x:c r="B2" s="14" t="str">
        <x:f>'LRAI_v1_Scoring'!B2</x:f>
        <x:v>SAN</x:v>
      </x:c>
      <x:c r="C2" s="24" t="n">
        <x:f>'LRAI_v1_Scoring'!AA2</x:f>
        <x:v>0.6885974406986953</x:v>
      </x:c>
      <x:c r="D2" s="24" t="n">
        <x:f>'LRAI_v1_Scoring'!AB2</x:f>
        <x:v>0.6471799127881935</x:v>
      </x:c>
      <x:c r="E2" s="14" t="n">
        <x:f>1+COUNTIF($C$2:$C$10,"&gt;"&amp;C2)</x:f>
        <x:v>2</x:v>
      </x:c>
      <x:c r="F2" s="14" t="n">
        <x:f>RANK.EQ(D2,$D$2:$D$10,0)</x:f>
        <x:v>3</x:v>
      </x:c>
      <x:c r="G2" s="14" t="n">
        <x:f>ABS(E2-F2)</x:f>
        <x:v>1</x:v>
      </x:c>
      <x:c r="H2" s="14" t="n">
        <x:f>MIN('LRAI_v1_Scoring'!AE2:AK2)</x:f>
        <x:v>0.6366970141484779</x:v>
      </x:c>
      <x:c r="I2" s="14" t="n">
        <x:f>MAX('LRAI_v1_Scoring'!AE2:AK2)</x:f>
        <x:v>0.8033636808151446</x:v>
      </x:c>
      <x:c r="J2" s="24" t="n">
        <x:f>I2-H2</x:f>
        <x:v>0.16666666666666674</x:v>
      </x:c>
      <x:c r="K2" s="24" t="n">
        <x:f>MAX(ABS('LRAI_v1_Scoring'!AE2-C2),ABS('LRAI_v1_Scoring'!AF2-C2),ABS('LRAI_v1_Scoring'!AG2-C2),ABS('LRAI_v1_Scoring'!AH2-C2),ABS('LRAI_v1_Scoring'!AI2-C2),ABS('LRAI_v1_Scoring'!AJ2-C2),ABS('LRAI_v1_Scoring'!AK2-C2))</x:f>
        <x:v>0.11476624011644931</x:v>
      </x:c>
      <x:c r="L2" s="14" t="str">
        <x:f>IF(C2="","",INDEX({"Digital","Monolingual","Parallel","Annotated","Benchmark","Model","Script"},1,MATCH(K2,{ABS('LRAI_v1_Scoring'!AE2-C2),ABS('LRAI_v1_Scoring'!AF2-C2),ABS('LRAI_v1_Scoring'!AG2-C2),ABS('LRAI_v1_Scoring'!AH2-C2),ABS('LRAI_v1_Scoring'!AI2-C2),ABS('LRAI_v1_Scoring'!AJ2-C2),ABS('LRAI_v1_Scoring'!AK2-C2)},0)))</x:f>
        <x:v>Model</x:v>
      </x:c>
      <x:c r="M2" s="14" t="str">
        <x:f>IF(OR(G2&gt;=2,K2&gt;0.12),"REVIEW","STABLE")</x:f>
        <x:v>STABLE</x:v>
      </x:c>
      <x:c r="N2" s="14" t="str">
        <x:f>IF(M2="STABLE","No major instability under current thresholds.","Review rank shift and/or leave-one-component-out sensitivity before freezing.")</x:f>
        <x:v>No major instability under current thresholds.</x:v>
      </x:c>
      <x:c r="P2" t="str">
        <x:v>Languages with primary score</x:v>
      </x:c>
      <x:c r="Q2" t="n">
        <x:f>COUNT(C2:C10)</x:f>
        <x:v>9</x:v>
      </x:c>
    </x:row>
    <x:row r="3">
      <x:c r="A3" s="14" t="str">
        <x:f>'LRAI_v1_Scoring'!A3</x:f>
        <x:v>Santali</x:v>
      </x:c>
      <x:c r="B3" s="14" t="str">
        <x:f>'LRAI_v1_Scoring'!B3</x:f>
        <x:v>SAT</x:v>
      </x:c>
      <x:c r="C3" s="24" t="n">
        <x:f>'LRAI_v1_Scoring'!AA3</x:f>
        <x:v>0.453458833427051</x:v>
      </x:c>
      <x:c r="D3" s="24" t="n">
        <x:f>'LRAI_v1_Scoring'!AB3</x:f>
        <x:v>0.45767737306015743</x:v>
      </x:c>
      <x:c r="E3" s="14" t="n">
        <x:f>1+COUNTIF($C$2:$C$10,"&gt;"&amp;C3)</x:f>
        <x:v>5</x:v>
      </x:c>
      <x:c r="F3" s="14" t="n">
        <x:f>RANK.EQ(D3,$D$2:$D$10,0)</x:f>
        <x:v>5</x:v>
      </x:c>
      <x:c r="G3" s="14" t="n">
        <x:f>ABS(E3-F3)</x:f>
        <x:v>0</x:v>
      </x:c>
      <x:c r="H3" s="14" t="n">
        <x:f>MIN('LRAI_v1_Scoring'!AE3:AK3)</x:f>
        <x:v>0.3623686389982262</x:v>
      </x:c>
      <x:c r="I3" s="14" t="n">
        <x:f>MAX('LRAI_v1_Scoring'!AE3:AK3)</x:f>
        <x:v>0.5290353056648929</x:v>
      </x:c>
      <x:c r="J3" s="24" t="n">
        <x:f>I3-H3</x:f>
        <x:v>0.16666666666666669</x:v>
      </x:c>
      <x:c r="K3" s="24" t="n">
        <x:f>MAX(ABS('LRAI_v1_Scoring'!AE3-C3),ABS('LRAI_v1_Scoring'!AF3-C3),ABS('LRAI_v1_Scoring'!AG3-C3),ABS('LRAI_v1_Scoring'!AH3-C3),ABS('LRAI_v1_Scoring'!AI3-C3),ABS('LRAI_v1_Scoring'!AJ3-C3),ABS('LRAI_v1_Scoring'!AK3-C3))</x:f>
        <x:v>0.09109019442882482</x:v>
      </x:c>
      <x:c r="L3" s="14" t="str">
        <x:f>IF(C3="","",INDEX({"Digital","Monolingual","Parallel","Annotated","Benchmark","Model","Script"},1,MATCH(K3,{ABS('LRAI_v1_Scoring'!AE3-C3),ABS('LRAI_v1_Scoring'!AF3-C3),ABS('LRAI_v1_Scoring'!AG3-C3),ABS('LRAI_v1_Scoring'!AH3-C3),ABS('LRAI_v1_Scoring'!AI3-C3),ABS('LRAI_v1_Scoring'!AJ3-C3),ABS('LRAI_v1_Scoring'!AK3-C3)},0)))</x:f>
        <x:v>Script</x:v>
      </x:c>
      <x:c r="M3" s="14" t="str">
        <x:f>IF(OR(G3&gt;=2,K3&gt;0.12),"REVIEW","STABLE")</x:f>
        <x:v>STABLE</x:v>
      </x:c>
      <x:c r="N3" s="14" t="str">
        <x:f>IF(M3="STABLE","No major instability under current thresholds.","Review rank shift and/or leave-one-component-out sensitivity before freezing.")</x:f>
        <x:v>No major instability under current thresholds.</x:v>
      </x:c>
      <x:c r="P3" t="str">
        <x:v>Stable</x:v>
      </x:c>
      <x:c r="Q3" t="n">
        <x:f>COUNTIF(M2:M10,"STABLE")</x:f>
        <x:v>9</x:v>
      </x:c>
    </x:row>
    <x:row r="4">
      <x:c r="A4" s="14" t="str">
        <x:f>'LRAI_v1_Scoring'!A4</x:f>
        <x:v>Bodo</x:v>
      </x:c>
      <x:c r="B4" s="14" t="str">
        <x:f>'LRAI_v1_Scoring'!B4</x:f>
        <x:v>BOD</x:v>
      </x:c>
      <x:c r="C4" s="24" t="n">
        <x:f>'LRAI_v1_Scoring'!AA4</x:f>
        <x:v>0.2931957735207536</x:v>
      </x:c>
      <x:c r="D4" s="24" t="n">
        <x:f>'LRAI_v1_Scoring'!AB4</x:f>
        <x:v>0.2786165970316789</x:v>
      </x:c>
      <x:c r="E4" s="14" t="n">
        <x:f>1+COUNTIF($C$2:$C$10,"&gt;"&amp;C4)</x:f>
        <x:v>8</x:v>
      </x:c>
      <x:c r="F4" s="14" t="n">
        <x:f>RANK.EQ(D4,$D$2:$D$10,0)</x:f>
        <x:v>8</x:v>
      </x:c>
      <x:c r="G4" s="14" t="n">
        <x:f>ABS(E4-F4)</x:f>
        <x:v>0</x:v>
      </x:c>
      <x:c r="H4" s="14" t="n">
        <x:f>MIN('LRAI_v1_Scoring'!AE4:AK4)</x:f>
        <x:v>0.18688183562740113</x:v>
      </x:c>
      <x:c r="I4" s="14" t="n">
        <x:f>MAX('LRAI_v1_Scoring'!AE4:AK4)</x:f>
        <x:v>0.34206173577421256</x:v>
      </x:c>
      <x:c r="J4" s="24" t="n">
        <x:f>I4-H4</x:f>
        <x:v>0.15517990014681143</x:v>
      </x:c>
      <x:c r="K4" s="24" t="n">
        <x:f>MAX(ABS('LRAI_v1_Scoring'!AE4-C4),ABS('LRAI_v1_Scoring'!AF4-C4),ABS('LRAI_v1_Scoring'!AG4-C4),ABS('LRAI_v1_Scoring'!AH4-C4),ABS('LRAI_v1_Scoring'!AI4-C4),ABS('LRAI_v1_Scoring'!AJ4-C4),ABS('LRAI_v1_Scoring'!AK4-C4))</x:f>
        <x:v>0.10631393789335247</x:v>
      </x:c>
      <x:c r="L4" s="14" t="str">
        <x:f>IF(C4="","",INDEX({"Digital","Monolingual","Parallel","Annotated","Benchmark","Model","Script"},1,MATCH(K4,{ABS('LRAI_v1_Scoring'!AE4-C4),ABS('LRAI_v1_Scoring'!AF4-C4),ABS('LRAI_v1_Scoring'!AG4-C4),ABS('LRAI_v1_Scoring'!AH4-C4),ABS('LRAI_v1_Scoring'!AI4-C4),ABS('LRAI_v1_Scoring'!AJ4-C4),ABS('LRAI_v1_Scoring'!AK4-C4)},0)))</x:f>
        <x:v>Annotated</x:v>
      </x:c>
      <x:c r="M4" s="14" t="str">
        <x:f>IF(OR(G4&gt;=2,K4&gt;0.12),"REVIEW","STABLE")</x:f>
        <x:v>STABLE</x:v>
      </x:c>
      <x:c r="N4" s="14" t="str">
        <x:f>IF(M4="STABLE","No major instability under current thresholds.","Review rank shift and/or leave-one-component-out sensitivity before freezing.")</x:f>
        <x:v>No major instability under current thresholds.</x:v>
      </x:c>
      <x:c r="P4" t="str">
        <x:v>Review</x:v>
      </x:c>
      <x:c r="Q4" t="n">
        <x:f>COUNTIF(M2:M10,"REVIEW")</x:f>
        <x:v>0</x:v>
      </x:c>
    </x:row>
    <x:row r="5">
      <x:c r="A5" s="14" t="str">
        <x:f>'LRAI_v1_Scoring'!A5</x:f>
        <x:v>Dogri</x:v>
      </x:c>
      <x:c r="B5" s="14" t="str">
        <x:f>'LRAI_v1_Scoring'!B5</x:f>
        <x:v>DOI</x:v>
      </x:c>
      <x:c r="C5" s="24" t="n">
        <x:f>'LRAI_v1_Scoring'!AA5</x:f>
        <x:v>0.19610594011002472</x:v>
      </x:c>
      <x:c r="D5" s="24" t="n">
        <x:f>'LRAI_v1_Scoring'!AB5</x:f>
        <x:v>0.2003244797431311</x:v>
      </x:c>
      <x:c r="E5" s="14" t="n">
        <x:f>1+COUNTIF($C$2:$C$10,"&gt;"&amp;C5)</x:f>
        <x:v>9</x:v>
      </x:c>
      <x:c r="F5" s="14" t="n">
        <x:f>RANK.EQ(D5,$D$2:$D$10,0)</x:f>
        <x:v>9</x:v>
      </x:c>
      <x:c r="G5" s="14" t="n">
        <x:f>ABS(E5-F5)</x:f>
        <x:v>0</x:v>
      </x:c>
      <x:c r="H5" s="14" t="n">
        <x:f>MIN('LRAI_v1_Scoring'!AE5:AK5)</x:f>
        <x:v>0.08333333333333333</x:v>
      </x:c>
      <x:c r="I5" s="14" t="n">
        <x:f>MAX('LRAI_v1_Scoring'!AE5:AK5)</x:f>
        <x:v>0.2287902634616955</x:v>
      </x:c>
      <x:c r="J5" s="24" t="n">
        <x:f>I5-H5</x:f>
        <x:v>0.1454569301283622</x:v>
      </x:c>
      <x:c r="K5" s="24" t="n">
        <x:f>MAX(ABS('LRAI_v1_Scoring'!AE5-C5),ABS('LRAI_v1_Scoring'!AF5-C5),ABS('LRAI_v1_Scoring'!AG5-C5),ABS('LRAI_v1_Scoring'!AH5-C5),ABS('LRAI_v1_Scoring'!AI5-C5),ABS('LRAI_v1_Scoring'!AJ5-C5),ABS('LRAI_v1_Scoring'!AK5-C5))</x:f>
        <x:v>0.11277260677669139</x:v>
      </x:c>
      <x:c r="L5" s="14" t="str">
        <x:f>IF(C5="","",INDEX({"Digital","Monolingual","Parallel","Annotated","Benchmark","Model","Script"},1,MATCH(K5,{ABS('LRAI_v1_Scoring'!AE5-C5),ABS('LRAI_v1_Scoring'!AF5-C5),ABS('LRAI_v1_Scoring'!AG5-C5),ABS('LRAI_v1_Scoring'!AH5-C5),ABS('LRAI_v1_Scoring'!AI5-C5),ABS('LRAI_v1_Scoring'!AJ5-C5),ABS('LRAI_v1_Scoring'!AK5-C5)},0)))</x:f>
        <x:v>Annotated</x:v>
      </x:c>
      <x:c r="M5" s="14" t="str">
        <x:f>IF(OR(G5&gt;=2,K5&gt;0.12),"REVIEW","STABLE")</x:f>
        <x:v>STABLE</x:v>
      </x:c>
      <x:c r="N5" s="14" t="str">
        <x:f>IF(M5="STABLE","No major instability under current thresholds.","Review rank shift and/or leave-one-component-out sensitivity before freezing.")</x:f>
        <x:v>No major instability under current thresholds.</x:v>
      </x:c>
      <x:c r="P5" t="str">
        <x:v>Hold</x:v>
      </x:c>
      <x:c r="Q5" t="n">
        <x:f>COUNTIF(M2:M10,"HOLD")</x:f>
        <x:v>0</x:v>
      </x:c>
    </x:row>
    <x:row r="6">
      <x:c r="A6" s="14" t="str">
        <x:f>'LRAI_v1_Scoring'!A6</x:f>
        <x:v>Konkani</x:v>
      </x:c>
      <x:c r="B6" s="14" t="str">
        <x:f>'LRAI_v1_Scoring'!B6</x:f>
        <x:v>KON</x:v>
      </x:c>
      <x:c r="C6" s="24" t="n">
        <x:f>'LRAI_v1_Scoring'!AA6</x:f>
        <x:v>0.42481963973751957</x:v>
      </x:c>
      <x:c r="D6" s="24" t="n">
        <x:f>'LRAI_v1_Scoring'!AB6</x:f>
        <x:v>0.41386198604742896</x:v>
      </x:c>
      <x:c r="E6" s="14" t="n">
        <x:f>1+COUNTIF($C$2:$C$10,"&gt;"&amp;C6)</x:f>
        <x:v>6</x:v>
      </x:c>
      <x:c r="F6" s="14" t="n">
        <x:f>RANK.EQ(D6,$D$2:$D$10,0)</x:f>
        <x:v>7</x:v>
      </x:c>
      <x:c r="G6" s="14" t="n">
        <x:f>ABS(E6-F6)</x:f>
        <x:v>1</x:v>
      </x:c>
      <x:c r="H6" s="14" t="n">
        <x:f>MIN('LRAI_v1_Scoring'!AE6:AK6)</x:f>
        <x:v>0.3590682354049195</x:v>
      </x:c>
      <x:c r="I6" s="14" t="n">
        <x:f>MAX('LRAI_v1_Scoring'!AE6:AK6)</x:f>
        <x:v>0.49562291302710615</x:v>
      </x:c>
      <x:c r="J6" s="24" t="n">
        <x:f>I6-H6</x:f>
        <x:v>0.13655467762218665</x:v>
      </x:c>
      <x:c r="K6" s="24" t="n">
        <x:f>MAX(ABS('LRAI_v1_Scoring'!AE6-C6),ABS('LRAI_v1_Scoring'!AF6-C6),ABS('LRAI_v1_Scoring'!AG6-C6),ABS('LRAI_v1_Scoring'!AH6-C6),ABS('LRAI_v1_Scoring'!AI6-C6),ABS('LRAI_v1_Scoring'!AJ6-C6),ABS('LRAI_v1_Scoring'!AK6-C6))</x:f>
        <x:v>0.07080327328958658</x:v>
      </x:c>
      <x:c r="L6" s="14" t="str">
        <x:f>IF(C6="","",INDEX({"Digital","Monolingual","Parallel","Annotated","Benchmark","Model","Script"},1,MATCH(K6,{ABS('LRAI_v1_Scoring'!AE6-C6),ABS('LRAI_v1_Scoring'!AF6-C6),ABS('LRAI_v1_Scoring'!AG6-C6),ABS('LRAI_v1_Scoring'!AH6-C6),ABS('LRAI_v1_Scoring'!AI6-C6),ABS('LRAI_v1_Scoring'!AJ6-C6),ABS('LRAI_v1_Scoring'!AK6-C6)},0)))</x:f>
        <x:v>Model</x:v>
      </x:c>
      <x:c r="M6" s="14" t="str">
        <x:f>IF(OR(G6&gt;=2,K6&gt;0.12),"REVIEW","STABLE")</x:f>
        <x:v>STABLE</x:v>
      </x:c>
      <x:c r="N6" s="14" t="str">
        <x:f>IF(M6="STABLE","No major instability under current thresholds.","Review rank shift and/or leave-one-component-out sensitivity before freezing.")</x:f>
        <x:v>No major instability under current thresholds.</x:v>
      </x:c>
      <x:c r="P6" t="str">
        <x:v>Max rank shift</x:v>
      </x:c>
      <x:c r="Q6" t="n">
        <x:f>MAX(G2:G10)</x:f>
        <x:v>1</x:v>
      </x:c>
    </x:row>
    <x:row r="7">
      <x:c r="A7" s="14" t="str">
        <x:f>'LRAI_v1_Scoring'!A7</x:f>
        <x:v>Kashmiri</x:v>
      </x:c>
      <x:c r="B7" s="14" t="str">
        <x:f>'LRAI_v1_Scoring'!B7</x:f>
        <x:v>KAS</x:v>
      </x:c>
      <x:c r="C7" s="24" t="n">
        <x:f>'LRAI_v1_Scoring'!AA7</x:f>
        <x:v>0.4833767415506546</x:v>
      </x:c>
      <x:c r="D7" s="24" t="n">
        <x:f>'LRAI_v1_Scoring'!AB7</x:f>
        <x:v>0.5321400139163808</x:v>
      </x:c>
      <x:c r="E7" s="14" t="n">
        <x:f>1+COUNTIF($C$2:$C$10,"&gt;"&amp;C7)</x:f>
        <x:v>4</x:v>
      </x:c>
      <x:c r="F7" s="14" t="n">
        <x:f>RANK.EQ(D7,$D$2:$D$10,0)</x:f>
        <x:v>4</x:v>
      </x:c>
      <x:c r="G7" s="14" t="n">
        <x:f>ABS(E7-F7)</x:f>
        <x:v>0</x:v>
      </x:c>
      <x:c r="H7" s="14" t="n">
        <x:f>MIN('LRAI_v1_Scoring'!AE7:AK7)</x:f>
        <x:v>0.3972728651424304</x:v>
      </x:c>
      <x:c r="I7" s="14" t="n">
        <x:f>MAX('LRAI_v1_Scoring'!AE7:AK7)</x:f>
        <x:v>0.5639395318090971</x:v>
      </x:c>
      <x:c r="J7" s="24" t="n">
        <x:f>I7-H7</x:f>
        <x:v>0.16666666666666669</x:v>
      </x:c>
      <x:c r="K7" s="24" t="n">
        <x:f>MAX(ABS('LRAI_v1_Scoring'!AE7-C7),ABS('LRAI_v1_Scoring'!AF7-C7),ABS('LRAI_v1_Scoring'!AG7-C7),ABS('LRAI_v1_Scoring'!AH7-C7),ABS('LRAI_v1_Scoring'!AI7-C7),ABS('LRAI_v1_Scoring'!AJ7-C7),ABS('LRAI_v1_Scoring'!AK7-C7))</x:f>
        <x:v>0.0861038764082242</x:v>
      </x:c>
      <x:c r="L7" s="14" t="str">
        <x:f>IF(C7="","",INDEX({"Digital","Monolingual","Parallel","Annotated","Benchmark","Model","Script"},1,MATCH(K7,{ABS('LRAI_v1_Scoring'!AE7-C7),ABS('LRAI_v1_Scoring'!AF7-C7),ABS('LRAI_v1_Scoring'!AG7-C7),ABS('LRAI_v1_Scoring'!AH7-C7),ABS('LRAI_v1_Scoring'!AI7-C7),ABS('LRAI_v1_Scoring'!AJ7-C7),ABS('LRAI_v1_Scoring'!AK7-C7)},0)))</x:f>
        <x:v>Script</x:v>
      </x:c>
      <x:c r="M7" s="14" t="str">
        <x:f>IF(OR(G7&gt;=2,K7&gt;0.12),"REVIEW","STABLE")</x:f>
        <x:v>STABLE</x:v>
      </x:c>
      <x:c r="N7" s="14" t="str">
        <x:f>IF(M7="STABLE","No major instability under current thresholds.","Review rank shift and/or leave-one-component-out sensitivity before freezing.")</x:f>
        <x:v>No major instability under current thresholds.</x:v>
      </x:c>
      <x:c r="P7" t="str">
        <x:v>Median LOO range</x:v>
      </x:c>
      <x:c r="Q7" s="49" t="n">
        <x:f>MEDIAN(J2:J10)</x:f>
        <x:v>0.15517990014681143</x:v>
      </x:c>
    </x:row>
    <x:row r="8">
      <x:c r="A8" s="14" t="str">
        <x:f>'LRAI_v1_Scoring'!A8</x:f>
        <x:v>Maithili</x:v>
      </x:c>
      <x:c r="B8" s="14" t="str">
        <x:f>'LRAI_v1_Scoring'!B8</x:f>
        <x:v>MAI</x:v>
      </x:c>
      <x:c r="C8" s="24" t="n">
        <x:f>'LRAI_v1_Scoring'!AA8</x:f>
        <x:v>0.6741744871720137</x:v>
      </x:c>
      <x:c r="D8" s="24" t="n">
        <x:f>'LRAI_v1_Scoring'!AB8</x:f>
        <x:v>0.6650523629286258</x:v>
      </x:c>
      <x:c r="E8" s="14" t="n">
        <x:f>1+COUNTIF($C$2:$C$10,"&gt;"&amp;C8)</x:f>
        <x:v>3</x:v>
      </x:c>
      <x:c r="F8" s="14" t="n">
        <x:f>RANK.EQ(D8,$D$2:$D$10,0)</x:f>
        <x:v>2</x:v>
      </x:c>
      <x:c r="G8" s="14" t="n">
        <x:f>ABS(E8-F8)</x:f>
        <x:v>1</x:v>
      </x:c>
      <x:c r="H8" s="14" t="n">
        <x:f>MIN('LRAI_v1_Scoring'!AE8:AK8)</x:f>
        <x:v>0.6198702350340161</x:v>
      </x:c>
      <x:c r="I8" s="14" t="n">
        <x:f>MAX('LRAI_v1_Scoring'!AE8:AK8)</x:f>
        <x:v>0.762076959953256</x:v>
      </x:c>
      <x:c r="J8" s="24" t="n">
        <x:f>I8-H8</x:f>
        <x:v>0.1422067249192399</x:v>
      </x:c>
      <x:c r="K8" s="24" t="n">
        <x:f>MAX(ABS('LRAI_v1_Scoring'!AE8-C8),ABS('LRAI_v1_Scoring'!AF8-C8),ABS('LRAI_v1_Scoring'!AG8-C8),ABS('LRAI_v1_Scoring'!AH8-C8),ABS('LRAI_v1_Scoring'!AI8-C8),ABS('LRAI_v1_Scoring'!AJ8-C8),ABS('LRAI_v1_Scoring'!AK8-C8))</x:f>
        <x:v>0.0879024727812423</x:v>
      </x:c>
      <x:c r="L8" s="14" t="str">
        <x:f>IF(C8="","",INDEX({"Digital","Monolingual","Parallel","Annotated","Benchmark","Model","Script"},1,MATCH(K8,{ABS('LRAI_v1_Scoring'!AE8-C8),ABS('LRAI_v1_Scoring'!AF8-C8),ABS('LRAI_v1_Scoring'!AG8-C8),ABS('LRAI_v1_Scoring'!AH8-C8),ABS('LRAI_v1_Scoring'!AI8-C8),ABS('LRAI_v1_Scoring'!AJ8-C8),ABS('LRAI_v1_Scoring'!AK8-C8)},0)))</x:f>
        <x:v>Monolingual</x:v>
      </x:c>
      <x:c r="M8" s="14" t="str">
        <x:f>IF(OR(G8&gt;=2,K8&gt;0.12),"REVIEW","STABLE")</x:f>
        <x:v>STABLE</x:v>
      </x:c>
      <x:c r="N8" s="14" t="str">
        <x:f>IF(M8="STABLE","No major instability under current thresholds.","Review rank shift and/or leave-one-component-out sensitivity before freezing.")</x:f>
        <x:v>No major instability under current thresholds.</x:v>
      </x:c>
      <x:c r="P8" t="str">
        <x:v>Max LOO deviation</x:v>
      </x:c>
      <x:c r="Q8" s="49" t="n">
        <x:f>MAX(K2:K10)</x:f>
        <x:v>0.11476624011644931</x:v>
      </x:c>
    </x:row>
    <x:row r="9">
      <x:c r="A9" s="14" t="str">
        <x:f>'LRAI_v1_Scoring'!A9</x:f>
        <x:v>Meitei (Manipuri)</x:v>
      </x:c>
      <x:c r="B9" s="14" t="str">
        <x:f>'LRAI_v1_Scoring'!B9</x:f>
        <x:v>MNI</x:v>
      </x:c>
      <x:c r="C9" s="24" t="n">
        <x:f>'LRAI_v1_Scoring'!AA9</x:f>
        <x:v>0.6918516245410681</x:v>
      </x:c>
      <x:c r="D9" s="24" t="n">
        <x:f>'LRAI_v1_Scoring'!AB9</x:f>
        <x:v>0.8224915410639151</x:v>
      </x:c>
      <x:c r="E9" s="14" t="n">
        <x:f>1+COUNTIF($C$2:$C$10,"&gt;"&amp;C9)</x:f>
        <x:v>1</x:v>
      </x:c>
      <x:c r="F9" s="14" t="n">
        <x:f>RANK.EQ(D9,$D$2:$D$10,0)</x:f>
        <x:v>1</x:v>
      </x:c>
      <x:c r="G9" s="14" t="n">
        <x:f>ABS(E9-F9)</x:f>
        <x:v>0</x:v>
      </x:c>
      <x:c r="H9" s="14" t="n">
        <x:f>MIN('LRAI_v1_Scoring'!AE9:AK9)</x:f>
        <x:v>0.6404935619645794</x:v>
      </x:c>
      <x:c r="I9" s="14" t="n">
        <x:f>MAX('LRAI_v1_Scoring'!AE9:AK9)</x:f>
        <x:v>0.792906797907901</x:v>
      </x:c>
      <x:c r="J9" s="24" t="n">
        <x:f>I9-H9</x:f>
        <x:v>0.15241323594332157</x:v>
      </x:c>
      <x:c r="K9" s="24" t="n">
        <x:f>MAX(ABS('LRAI_v1_Scoring'!AE9-C9),ABS('LRAI_v1_Scoring'!AF9-C9),ABS('LRAI_v1_Scoring'!AG9-C9),ABS('LRAI_v1_Scoring'!AH9-C9),ABS('LRAI_v1_Scoring'!AI9-C9),ABS('LRAI_v1_Scoring'!AJ9-C9),ABS('LRAI_v1_Scoring'!AK9-C9))</x:f>
        <x:v>0.1010551733668329</x:v>
      </x:c>
      <x:c r="L9" s="14" t="str">
        <x:f>IF(C9="","",INDEX({"Digital","Monolingual","Parallel","Annotated","Benchmark","Model","Script"},1,MATCH(K9,{ABS('LRAI_v1_Scoring'!AE9-C9),ABS('LRAI_v1_Scoring'!AF9-C9),ABS('LRAI_v1_Scoring'!AG9-C9),ABS('LRAI_v1_Scoring'!AH9-C9),ABS('LRAI_v1_Scoring'!AI9-C9),ABS('LRAI_v1_Scoring'!AJ9-C9),ABS('LRAI_v1_Scoring'!AK9-C9)},0)))</x:f>
        <x:v>Parallel</x:v>
      </x:c>
      <x:c r="M9" s="14" t="str">
        <x:f>IF(OR(G9&gt;=2,K9&gt;0.12),"REVIEW","STABLE")</x:f>
        <x:v>STABLE</x:v>
      </x:c>
      <x:c r="N9" s="14" t="str">
        <x:f>IF(M9="STABLE","No major instability under current thresholds.","Review rank shift and/or leave-one-component-out sensitivity before freezing.")</x:f>
        <x:v>No major instability under current thresholds.</x:v>
      </x:c>
      <x:c r="P9" t="str">
        <x:v>Primary-vs-aggregate Spearman</x:v>
      </x:c>
      <x:c r="Q9" s="49" t="n">
        <x:f>CORREL(E2:E10,F2:F10)</x:f>
        <x:v>0.9666666666666667</x:v>
      </x:c>
    </x:row>
    <x:row r="10">
      <x:c r="A10" s="14" t="str">
        <x:f>'LRAI_v1_Scoring'!A10</x:f>
        <x:v>Sindhi</x:v>
      </x:c>
      <x:c r="B10" s="14" t="str">
        <x:f>'LRAI_v1_Scoring'!B10</x:f>
        <x:v>SND</x:v>
      </x:c>
      <x:c r="C10" s="24" t="n">
        <x:f>'LRAI_v1_Scoring'!AA10</x:f>
        <x:v>0.41719697844814296</x:v>
      </x:c>
      <x:c r="D10" s="24" t="n">
        <x:f>'LRAI_v1_Scoring'!AB10</x:f>
        <x:v>0.41412035917937656</x:v>
      </x:c>
      <x:c r="E10" s="14" t="n">
        <x:f>1+COUNTIF($C$2:$C$10,"&gt;"&amp;C10)</x:f>
        <x:v>7</x:v>
      </x:c>
      <x:c r="F10" s="14" t="n">
        <x:f>RANK.EQ(D10,$D$2:$D$10,0)</x:f>
        <x:v>6</x:v>
      </x:c>
      <x:c r="G10" s="14" t="n">
        <x:f>ABS(E10-F10)</x:f>
        <x:v>1</x:v>
      </x:c>
      <x:c r="H10" s="14" t="n">
        <x:f>MIN('LRAI_v1_Scoring'!AE10:AK10)</x:f>
        <x:v>0.32006314152283344</x:v>
      </x:c>
      <x:c r="I10" s="14" t="n">
        <x:f>MAX('LRAI_v1_Scoring'!AE10:AK10)</x:f>
        <x:v>0.4867298081895001</x:v>
      </x:c>
      <x:c r="J10" s="24" t="n">
        <x:f>I10-H10</x:f>
        <x:v>0.16666666666666669</x:v>
      </x:c>
      <x:c r="K10" s="24" t="n">
        <x:f>MAX(ABS('LRAI_v1_Scoring'!AE10-C10),ABS('LRAI_v1_Scoring'!AF10-C10),ABS('LRAI_v1_Scoring'!AG10-C10),ABS('LRAI_v1_Scoring'!AH10-C10),ABS('LRAI_v1_Scoring'!AI10-C10),ABS('LRAI_v1_Scoring'!AJ10-C10),ABS('LRAI_v1_Scoring'!AK10-C10))</x:f>
        <x:v>0.09713383692530952</x:v>
      </x:c>
      <x:c r="L10" s="14" t="str">
        <x:f>IF(C10="","",INDEX({"Digital","Monolingual","Parallel","Annotated","Benchmark","Model","Script"},1,MATCH(K10,{ABS('LRAI_v1_Scoring'!AE10-C10),ABS('LRAI_v1_Scoring'!AF10-C10),ABS('LRAI_v1_Scoring'!AG10-C10),ABS('LRAI_v1_Scoring'!AH10-C10),ABS('LRAI_v1_Scoring'!AI10-C10),ABS('LRAI_v1_Scoring'!AJ10-C10),ABS('LRAI_v1_Scoring'!AK10-C10)},0)))</x:f>
        <x:v>Digital</x:v>
      </x:c>
      <x:c r="M10" s="14" t="str">
        <x:f>IF(OR(G10&gt;=2,K10&gt;0.12),"REVIEW","STABLE")</x:f>
        <x:v>STABLE</x:v>
      </x:c>
      <x:c r="N10" s="14" t="str">
        <x:f>IF(M10="STABLE","No major instability under current thresholds.","Review rank shift and/or leave-one-component-out sensitivity before freezing.")</x:f>
        <x:v>No major instability under current thresholds.</x:v>
      </x:c>
      <x:c r="P10" t="str">
        <x:v>Freeze recommendation</x:v>
      </x:c>
      <x:c r="Q10" t="str">
        <x:f>IF(AND(Q4=0,Q5=0,Q9&gt;=0.9,'LOO_Rank_Stability'!L9&gt;=0.85),"READY TO FREEZE","NOT YET READY TO FREEZE")</x:f>
        <x:v>NOT YET READY TO FREEZE</x:v>
      </x:c>
    </x:row>
  </x:sheetData>
  <x:conditionalFormatting sqref="G2:G10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K2:K10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83e4c9601f4d4a6f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1" max="11" width="24" hidden="0" customWidth="1"/>
    <x:col min="12" max="12" width="18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>
      <x:c r="A1" s="40" t="str">
        <x:v>language</x:v>
      </x:c>
      <x:c r="B1" s="40" t="str">
        <x:v>base_rank</x:v>
      </x:c>
      <x:c r="C1" s="40" t="str">
        <x:v>no_digital_rank</x:v>
      </x:c>
      <x:c r="D1" s="40" t="str">
        <x:v>no_mono_rank</x:v>
      </x:c>
      <x:c r="E1" s="40" t="str">
        <x:v>no_parallel_rank</x:v>
      </x:c>
      <x:c r="F1" s="40" t="str">
        <x:v>no_annotated_rank</x:v>
      </x:c>
      <x:c r="G1" s="40" t="str">
        <x:v>no_benchmark_rank</x:v>
      </x:c>
      <x:c r="H1" s="40" t="str">
        <x:v>no_model_rank</x:v>
      </x:c>
      <x:c r="I1" s="40" t="str">
        <x:v>no_script_rank</x:v>
      </x:c>
      <x:c r="K1" s="42" t="str">
        <x:v>Variant</x:v>
      </x:c>
      <x:c r="L1" s="42" t="str">
        <x:v>Spearman vs base</x:v>
      </x:c>
      <x:c r="M1" s="48" t="str">
        <x:v>base_score</x:v>
      </x:c>
      <x:c r="N1" s="48" t="str">
        <x:v>no_digital_score</x:v>
      </x:c>
      <x:c r="O1" s="48" t="str">
        <x:v>no_mono_score</x:v>
      </x:c>
      <x:c r="P1" s="48" t="str">
        <x:v>no_parallel_score</x:v>
      </x:c>
      <x:c r="Q1" s="48" t="str">
        <x:v>no_annotated_score</x:v>
      </x:c>
      <x:c r="R1" s="48" t="str">
        <x:v>no_benchmark_score</x:v>
      </x:c>
      <x:c r="S1" s="48" t="str">
        <x:v>no_model_score</x:v>
      </x:c>
      <x:c r="T1" s="48" t="str">
        <x:v>no_script_score</x:v>
      </x:c>
    </x:row>
    <x:row r="2">
      <x:c r="A2" s="14" t="str">
        <x:f>'LRAI_v1_Scoring'!A2</x:f>
        <x:v>Sanskrit</x:v>
      </x:c>
      <x:c r="B2" s="14" t="n">
        <x:f>1+COUNTIF($M$2:$M$10,"&gt;"&amp;M2)</x:f>
        <x:v>2</x:v>
      </x:c>
      <x:c r="C2" s="14" t="n">
        <x:f>1+COUNTIF($N$2:$N$10,"&gt;"&amp;N2)</x:f>
        <x:v>2</x:v>
      </x:c>
      <x:c r="D2" s="14" t="n">
        <x:f>1+COUNTIF($O$2:$O$10,"&gt;"&amp;O2)</x:f>
        <x:v>3</x:v>
      </x:c>
      <x:c r="E2" s="14" t="n">
        <x:f>1+COUNTIF($P$2:$P$10,"&gt;"&amp;P2)</x:f>
        <x:v>3</x:v>
      </x:c>
      <x:c r="F2" s="14" t="n">
        <x:f>1+COUNTIF($Q$2:$Q$10,"&gt;"&amp;Q2)</x:f>
        <x:v>1</x:v>
      </x:c>
      <x:c r="G2" s="14" t="n">
        <x:f>1+COUNTIF($R$2:$R$10,"&gt;"&amp;R2)</x:f>
        <x:v>2</x:v>
      </x:c>
      <x:c r="H2" s="14" t="n">
        <x:f>1+COUNTIF($S$2:$S$10,"&gt;"&amp;S2)</x:f>
        <x:v>1</x:v>
      </x:c>
      <x:c r="I2" s="14" t="n">
        <x:f>1+COUNTIF($T$2:$T$10,"&gt;"&amp;T2)</x:f>
        <x:v>1</x:v>
      </x:c>
      <x:c r="K2" t="str">
        <x:v>No digital</x:v>
      </x:c>
      <x:c r="L2" s="49" t="n">
        <x:f>CORREL(B2:B10,C2:C10)</x:f>
        <x:v>0.9833333333333333</x:v>
      </x:c>
      <x:c r="M2" s="49" t="n">
        <x:f>'LRAI_v1_Scoring'!AA2</x:f>
        <x:v>0.6885974406986953</x:v>
      </x:c>
      <x:c r="N2" s="49" t="n">
        <x:f>'LRAI_v1_Scoring'!AE2</x:f>
        <x:v>0.6462252613407576</x:v>
      </x:c>
      <x:c r="O2" s="49" t="n">
        <x:f>'LRAI_v1_Scoring'!AF2</x:f>
        <x:v>0.6385090245970322</x:v>
      </x:c>
      <x:c r="P2" s="49" t="n">
        <x:f>'LRAI_v1_Scoring'!AG2</x:f>
        <x:v>0.6366970141484779</x:v>
      </x:c>
      <x:c r="Q2" s="49" t="n">
        <x:f>'LRAI_v1_Scoring'!AH2</x:f>
        <x:v>0.738659742359166</x:v>
      </x:c>
      <x:c r="R2" s="49" t="n">
        <x:f>'LRAI_v1_Scoring'!AI2</x:f>
        <x:v>0.6366970141484779</x:v>
      </x:c>
      <x:c r="S2" s="49" t="n">
        <x:f>'LRAI_v1_Scoring'!AJ2</x:f>
        <x:v>0.8033636808151446</x:v>
      </x:c>
      <x:c r="T2" s="49" t="n">
        <x:f>'LRAI_v1_Scoring'!AK2</x:f>
        <x:v>0.7200303474818113</x:v>
      </x:c>
    </x:row>
    <x:row r="3">
      <x:c r="A3" s="14" t="str">
        <x:f>'LRAI_v1_Scoring'!A3</x:f>
        <x:v>Santali</x:v>
      </x:c>
      <x:c r="B3" s="14" t="n">
        <x:f>1+COUNTIF($M$2:$M$10,"&gt;"&amp;M3)</x:f>
        <x:v>5</x:v>
      </x:c>
      <x:c r="C3" s="14" t="n">
        <x:f>1+COUNTIF($N$2:$N$10,"&gt;"&amp;N3)</x:f>
        <x:v>5</x:v>
      </x:c>
      <x:c r="D3" s="14" t="n">
        <x:f>1+COUNTIF($O$2:$O$10,"&gt;"&amp;O3)</x:f>
        <x:v>5</x:v>
      </x:c>
      <x:c r="E3" s="14" t="n">
        <x:f>1+COUNTIF($P$2:$P$10,"&gt;"&amp;P3)</x:f>
        <x:v>4</x:v>
      </x:c>
      <x:c r="F3" s="14" t="n">
        <x:f>1+COUNTIF($Q$2:$Q$10,"&gt;"&amp;Q3)</x:f>
        <x:v>4</x:v>
      </x:c>
      <x:c r="G3" s="14" t="n">
        <x:f>1+COUNTIF($R$2:$R$10,"&gt;"&amp;R3)</x:f>
        <x:v>5</x:v>
      </x:c>
      <x:c r="H3" s="14" t="n">
        <x:f>1+COUNTIF($S$2:$S$10,"&gt;"&amp;S3)</x:f>
        <x:v>5</x:v>
      </x:c>
      <x:c r="I3" s="14" t="n">
        <x:f>1+COUNTIF($T$2:$T$10,"&gt;"&amp;T3)</x:f>
        <x:v>7</x:v>
      </x:c>
      <x:c r="K3" t="str">
        <x:v>No monolingual</x:v>
      </x:c>
      <x:c r="L3" s="49" t="n">
        <x:f>CORREL(B2:B10,D2:D10)</x:f>
        <x:v>0.9833333333333333</x:v>
      </x:c>
      <x:c r="M3" s="49" t="n">
        <x:f>'LRAI_v1_Scoring'!AA3</x:f>
        <x:v>0.453458833427051</x:v>
      </x:c>
      <x:c r="N3" s="49" t="n">
        <x:f>'LRAI_v1_Scoring'!AE3</x:f>
        <x:v>0.36791598840031897</x:v>
      </x:c>
      <x:c r="O3" s="49" t="n">
        <x:f>'LRAI_v1_Scoring'!AF3</x:f>
        <x:v>0.48524751615057965</x:v>
      </x:c>
      <x:c r="P3" s="49" t="n">
        <x:f>'LRAI_v1_Scoring'!AG3</x:f>
        <x:v>0.5290353056648929</x:v>
      </x:c>
      <x:c r="Q3" s="49" t="n">
        <x:f>'LRAI_v1_Scoring'!AH3</x:f>
        <x:v>0.4549071067788872</x:v>
      </x:c>
      <x:c r="R3" s="49" t="n">
        <x:f>'LRAI_v1_Scoring'!AI3</x:f>
        <x:v>0.44570197233155956</x:v>
      </x:c>
      <x:c r="S3" s="49" t="n">
        <x:f>'LRAI_v1_Scoring'!AJ3</x:f>
        <x:v>0.5290353056648929</x:v>
      </x:c>
      <x:c r="T3" s="49" t="n">
        <x:f>'LRAI_v1_Scoring'!AK3</x:f>
        <x:v>0.3623686389982262</x:v>
      </x:c>
    </x:row>
    <x:row r="4">
      <x:c r="A4" s="14" t="str">
        <x:f>'LRAI_v1_Scoring'!A4</x:f>
        <x:v>Bodo</x:v>
      </x:c>
      <x:c r="B4" s="14" t="n">
        <x:f>1+COUNTIF($M$2:$M$10,"&gt;"&amp;M4)</x:f>
        <x:v>8</x:v>
      </x:c>
      <x:c r="C4" s="14" t="n">
        <x:f>1+COUNTIF($N$2:$N$10,"&gt;"&amp;N4)</x:f>
        <x:v>7</x:v>
      </x:c>
      <x:c r="D4" s="14" t="n">
        <x:f>1+COUNTIF($O$2:$O$10,"&gt;"&amp;O4)</x:f>
        <x:v>8</x:v>
      </x:c>
      <x:c r="E4" s="14" t="n">
        <x:f>1+COUNTIF($P$2:$P$10,"&gt;"&amp;P4)</x:f>
        <x:v>8</x:v>
      </x:c>
      <x:c r="F4" s="14" t="n">
        <x:f>1+COUNTIF($Q$2:$Q$10,"&gt;"&amp;Q4)</x:f>
        <x:v>8</x:v>
      </x:c>
      <x:c r="G4" s="14" t="n">
        <x:f>1+COUNTIF($R$2:$R$10,"&gt;"&amp;R4)</x:f>
        <x:v>8</x:v>
      </x:c>
      <x:c r="H4" s="14" t="n">
        <x:f>1+COUNTIF($S$2:$S$10,"&gt;"&amp;S4)</x:f>
        <x:v>8</x:v>
      </x:c>
      <x:c r="I4" s="14" t="n">
        <x:f>1+COUNTIF($T$2:$T$10,"&gt;"&amp;T4)</x:f>
        <x:v>8</x:v>
      </x:c>
      <x:c r="K4" t="str">
        <x:v>No parallel</x:v>
      </x:c>
      <x:c r="L4" s="49" t="n">
        <x:f>CORREL(B2:B10,E2:E10)</x:f>
        <x:v>0.9</x:v>
      </x:c>
      <x:c r="M4" s="49" t="n">
        <x:f>'LRAI_v1_Scoring'!AA4</x:f>
        <x:v>0.2931957735207536</x:v>
      </x:c>
      <x:c r="N4" s="49" t="n">
        <x:f>'LRAI_v1_Scoring'!AE4</x:f>
        <x:v>0.34206173577421256</x:v>
      </x:c>
      <x:c r="O4" s="49" t="n">
        <x:f>'LRAI_v1_Scoring'!AF4</x:f>
        <x:v>0.3071640365765428</x:v>
      </x:c>
      <x:c r="P4" s="49" t="n">
        <x:f>'LRAI_v1_Scoring'!AG4</x:f>
        <x:v>0.2734109326778145</x:v>
      </x:c>
      <x:c r="Q4" s="49" t="n">
        <x:f>'LRAI_v1_Scoring'!AH4</x:f>
        <x:v>0.18688183562740113</x:v>
      </x:c>
      <x:c r="R4" s="49" t="n">
        <x:f>'LRAI_v1_Scoring'!AI4</x:f>
        <x:v>0.34206173577421256</x:v>
      </x:c>
      <x:c r="S4" s="49" t="n">
        <x:f>'LRAI_v1_Scoring'!AJ4</x:f>
        <x:v>0.34206173577421256</x:v>
      </x:c>
      <x:c r="T4" s="49" t="n">
        <x:f>'LRAI_v1_Scoring'!AK4</x:f>
        <x:v>0.2587284024408792</x:v>
      </x:c>
    </x:row>
    <x:row r="5">
      <x:c r="A5" s="14" t="str">
        <x:f>'LRAI_v1_Scoring'!A5</x:f>
        <x:v>Dogri</x:v>
      </x:c>
      <x:c r="B5" s="14" t="n">
        <x:f>1+COUNTIF($M$2:$M$10,"&gt;"&amp;M5)</x:f>
        <x:v>9</x:v>
      </x:c>
      <x:c r="C5" s="14" t="n">
        <x:f>1+COUNTIF($N$2:$N$10,"&gt;"&amp;N5)</x:f>
        <x:v>9</x:v>
      </x:c>
      <x:c r="D5" s="14" t="n">
        <x:f>1+COUNTIF($O$2:$O$10,"&gt;"&amp;O5)</x:f>
        <x:v>9</x:v>
      </x:c>
      <x:c r="E5" s="14" t="n">
        <x:f>1+COUNTIF($P$2:$P$10,"&gt;"&amp;P5)</x:f>
        <x:v>9</x:v>
      </x:c>
      <x:c r="F5" s="14" t="n">
        <x:f>1+COUNTIF($Q$2:$Q$10,"&gt;"&amp;Q5)</x:f>
        <x:v>9</x:v>
      </x:c>
      <x:c r="G5" s="14" t="n">
        <x:f>1+COUNTIF($R$2:$R$10,"&gt;"&amp;R5)</x:f>
        <x:v>9</x:v>
      </x:c>
      <x:c r="H5" s="14" t="n">
        <x:f>1+COUNTIF($S$2:$S$10,"&gt;"&amp;S5)</x:f>
        <x:v>9</x:v>
      </x:c>
      <x:c r="I5" s="14" t="n">
        <x:f>1+COUNTIF($T$2:$T$10,"&gt;"&amp;T5)</x:f>
        <x:v>9</x:v>
      </x:c>
      <x:c r="K5" t="str">
        <x:v>No annotated</x:v>
      </x:c>
      <x:c r="L5" s="49" t="n">
        <x:f>CORREL(B2:B10,F2:F10)</x:f>
        <x:v>0.9500000000000001</x:v>
      </x:c>
      <x:c r="M5" s="49" t="n">
        <x:f>'LRAI_v1_Scoring'!AA5</x:f>
        <x:v>0.19610594011002472</x:v>
      </x:c>
      <x:c r="N5" s="49" t="n">
        <x:f>'LRAI_v1_Scoring'!AE5</x:f>
        <x:v>0.2287902634616955</x:v>
      </x:c>
      <x:c r="O5" s="49" t="n">
        <x:f>'LRAI_v1_Scoring'!AF5</x:f>
        <x:v>0.2287902634616955</x:v>
      </x:c>
      <x:c r="P5" s="49" t="n">
        <x:f>'LRAI_v1_Scoring'!AG5</x:f>
        <x:v>0.2287902634616955</x:v>
      </x:c>
      <x:c r="Q5" s="49" t="n">
        <x:f>'LRAI_v1_Scoring'!AH5</x:f>
        <x:v>0.08333333333333333</x:v>
      </x:c>
      <x:c r="R5" s="49" t="n">
        <x:f>'LRAI_v1_Scoring'!AI5</x:f>
        <x:v>0.2287902634616955</x:v>
      </x:c>
      <x:c r="S5" s="49" t="n">
        <x:f>'LRAI_v1_Scoring'!AJ5</x:f>
        <x:v>0.2287902634616955</x:v>
      </x:c>
      <x:c r="T5" s="49" t="n">
        <x:f>'LRAI_v1_Scoring'!AK5</x:f>
        <x:v>0.14545693012836217</x:v>
      </x:c>
    </x:row>
    <x:row r="6">
      <x:c r="A6" s="14" t="str">
        <x:f>'LRAI_v1_Scoring'!A6</x:f>
        <x:v>Konkani</x:v>
      </x:c>
      <x:c r="B6" s="14" t="n">
        <x:f>1+COUNTIF($M$2:$M$10,"&gt;"&amp;M6)</x:f>
        <x:v>6</x:v>
      </x:c>
      <x:c r="C6" s="14" t="n">
        <x:f>1+COUNTIF($N$2:$N$10,"&gt;"&amp;N6)</x:f>
        <x:v>6</x:v>
      </x:c>
      <x:c r="D6" s="14" t="n">
        <x:f>1+COUNTIF($O$2:$O$10,"&gt;"&amp;O6)</x:f>
        <x:v>6</x:v>
      </x:c>
      <x:c r="E6" s="14" t="n">
        <x:f>1+COUNTIF($P$2:$P$10,"&gt;"&amp;P6)</x:f>
        <x:v>7</x:v>
      </x:c>
      <x:c r="F6" s="14" t="n">
        <x:f>1+COUNTIF($Q$2:$Q$10,"&gt;"&amp;Q6)</x:f>
        <x:v>7</x:v>
      </x:c>
      <x:c r="G6" s="14" t="n">
        <x:f>1+COUNTIF($R$2:$R$10,"&gt;"&amp;R6)</x:f>
        <x:v>6</x:v>
      </x:c>
      <x:c r="H6" s="14" t="n">
        <x:f>1+COUNTIF($S$2:$S$10,"&gt;"&amp;S6)</x:f>
        <x:v>6</x:v>
      </x:c>
      <x:c r="I6" s="14" t="n">
        <x:f>1+COUNTIF($T$2:$T$10,"&gt;"&amp;T6)</x:f>
        <x:v>5</x:v>
      </x:c>
      <x:c r="K6" t="str">
        <x:v>No benchmark</x:v>
      </x:c>
      <x:c r="L6" s="49" t="n">
        <x:f>CORREL(B2:B10,G2:G10)</x:f>
        <x:v>1</x:v>
      </x:c>
      <x:c r="M6" s="49" t="n">
        <x:f>'LRAI_v1_Scoring'!AA6</x:f>
        <x:v>0.42481963973751957</x:v>
      </x:c>
      <x:c r="N6" s="49" t="n">
        <x:f>'LRAI_v1_Scoring'!AE6</x:f>
        <x:v>0.3590682354049195</x:v>
      </x:c>
      <x:c r="O6" s="49" t="n">
        <x:f>'LRAI_v1_Scoring'!AF6</x:f>
        <x:v>0.4532563100845586</x:v>
      </x:c>
      <x:c r="P6" s="49" t="n">
        <x:f>'LRAI_v1_Scoring'!AG6</x:f>
        <x:v>0.44019820862089976</x:v>
      </x:c>
      <x:c r="Q6" s="49" t="n">
        <x:f>'LRAI_v1_Scoring'!AH6</x:f>
        <x:v>0.4010126516376074</x:v>
      </x:c>
      <x:c r="R6" s="49" t="n">
        <x:f>'LRAI_v1_Scoring'!AI6</x:f>
        <x:v>0.41228957969377283</x:v>
      </x:c>
      <x:c r="S6" s="49" t="n">
        <x:f>'LRAI_v1_Scoring'!AJ6</x:f>
        <x:v>0.49562291302710615</x:v>
      </x:c>
      <x:c r="T6" s="49" t="n">
        <x:f>'LRAI_v1_Scoring'!AK6</x:f>
        <x:v>0.41228957969377283</x:v>
      </x:c>
    </x:row>
    <x:row r="7">
      <x:c r="A7" s="14" t="str">
        <x:f>'LRAI_v1_Scoring'!A7</x:f>
        <x:v>Kashmiri</x:v>
      </x:c>
      <x:c r="B7" s="14" t="n">
        <x:f>1+COUNTIF($M$2:$M$10,"&gt;"&amp;M7)</x:f>
        <x:v>4</x:v>
      </x:c>
      <x:c r="C7" s="14" t="n">
        <x:f>1+COUNTIF($N$2:$N$10,"&gt;"&amp;N7)</x:f>
        <x:v>4</x:v>
      </x:c>
      <x:c r="D7" s="14" t="n">
        <x:f>1+COUNTIF($O$2:$O$10,"&gt;"&amp;O7)</x:f>
        <x:v>4</x:v>
      </x:c>
      <x:c r="E7" s="14" t="n">
        <x:f>1+COUNTIF($P$2:$P$10,"&gt;"&amp;P7)</x:f>
        <x:v>6</x:v>
      </x:c>
      <x:c r="F7" s="14" t="n">
        <x:f>1+COUNTIF($Q$2:$Q$10,"&gt;"&amp;Q7)</x:f>
        <x:v>5</x:v>
      </x:c>
      <x:c r="G7" s="14" t="n">
        <x:f>1+COUNTIF($R$2:$R$10,"&gt;"&amp;R7)</x:f>
        <x:v>4</x:v>
      </x:c>
      <x:c r="H7" s="14" t="n">
        <x:f>1+COUNTIF($S$2:$S$10,"&gt;"&amp;S7)</x:f>
        <x:v>4</x:v>
      </x:c>
      <x:c r="I7" s="14" t="n">
        <x:f>1+COUNTIF($T$2:$T$10,"&gt;"&amp;T7)</x:f>
        <x:v>6</x:v>
      </x:c>
      <x:c r="K7" t="str">
        <x:v>No model</x:v>
      </x:c>
      <x:c r="L7" s="49" t="n">
        <x:f>CORREL(B2:B10,H2:H10)</x:f>
        <x:v>0.9833333333333333</x:v>
      </x:c>
      <x:c r="M7" s="49" t="n">
        <x:f>'LRAI_v1_Scoring'!AA7</x:f>
        <x:v>0.4833767415506546</x:v>
      </x:c>
      <x:c r="N7" s="49" t="n">
        <x:f>'LRAI_v1_Scoring'!AE7</x:f>
        <x:v>0.4080804485504057</x:v>
      </x:c>
      <x:c r="O7" s="49" t="n">
        <x:f>'LRAI_v1_Scoring'!AF7</x:f>
        <x:v>0.5435397209265161</x:v>
      </x:c>
      <x:c r="P7" s="49" t="n">
        <x:f>'LRAI_v1_Scoring'!AG7</x:f>
        <x:v>0.47588596156119145</x:v>
      </x:c>
      <x:c r="Q7" s="49" t="n">
        <x:f>'LRAI_v1_Scoring'!AH7</x:f>
        <x:v>0.4309791310558446</x:v>
      </x:c>
      <x:c r="R7" s="49" t="n">
        <x:f>'LRAI_v1_Scoring'!AI7</x:f>
        <x:v>0.5639395318090971</x:v>
      </x:c>
      <x:c r="S7" s="49" t="n">
        <x:f>'LRAI_v1_Scoring'!AJ7</x:f>
        <x:v>0.5639395318090971</x:v>
      </x:c>
      <x:c r="T7" s="49" t="n">
        <x:f>'LRAI_v1_Scoring'!AK7</x:f>
        <x:v>0.3972728651424304</x:v>
      </x:c>
    </x:row>
    <x:row r="8">
      <x:c r="A8" s="14" t="str">
        <x:f>'LRAI_v1_Scoring'!A8</x:f>
        <x:v>Maithili</x:v>
      </x:c>
      <x:c r="B8" s="14" t="n">
        <x:f>1+COUNTIF($M$2:$M$10,"&gt;"&amp;M8)</x:f>
        <x:v>3</x:v>
      </x:c>
      <x:c r="C8" s="14" t="n">
        <x:f>1+COUNTIF($N$2:$N$10,"&gt;"&amp;N8)</x:f>
        <x:v>3</x:v>
      </x:c>
      <x:c r="D8" s="14" t="n">
        <x:f>1+COUNTIF($O$2:$O$10,"&gt;"&amp;O8)</x:f>
        <x:v>2</x:v>
      </x:c>
      <x:c r="E8" s="14" t="n">
        <x:f>1+COUNTIF($P$2:$P$10,"&gt;"&amp;P8)</x:f>
        <x:v>2</x:v>
      </x:c>
      <x:c r="F8" s="14" t="n">
        <x:f>1+COUNTIF($Q$2:$Q$10,"&gt;"&amp;Q8)</x:f>
        <x:v>3</x:v>
      </x:c>
      <x:c r="G8" s="14" t="n">
        <x:f>1+COUNTIF($R$2:$R$10,"&gt;"&amp;R8)</x:f>
        <x:v>3</x:v>
      </x:c>
      <x:c r="H8" s="14" t="n">
        <x:f>1+COUNTIF($S$2:$S$10,"&gt;"&amp;S8)</x:f>
        <x:v>3</x:v>
      </x:c>
      <x:c r="I8" s="14" t="n">
        <x:f>1+COUNTIF($T$2:$T$10,"&gt;"&amp;T8)</x:f>
        <x:v>2</x:v>
      </x:c>
      <x:c r="K8" t="str">
        <x:v>No script</x:v>
      </x:c>
      <x:c r="L8" s="49" t="n">
        <x:f>CORREL(B2:B10,I2:I10)</x:f>
        <x:v>0.7999999999999999</x:v>
      </x:c>
      <x:c r="M8" s="49" t="n">
        <x:f>'LRAI_v1_Scoring'!AA8</x:f>
        <x:v>0.6741744871720137</x:v>
      </x:c>
      <x:c r="N8" s="49" t="n">
        <x:f>'LRAI_v1_Scoring'!AE8</x:f>
        <x:v>0.6271502220827039</x:v>
      </x:c>
      <x:c r="O8" s="49" t="n">
        <x:f>'LRAI_v1_Scoring'!AF8</x:f>
        <x:v>0.762076959953256</x:v>
      </x:c>
      <x:c r="P8" s="49" t="n">
        <x:f>'LRAI_v1_Scoring'!AG8</x:f>
        <x:v>0.7378157015821344</x:v>
      </x:c>
      <x:c r="Q8" s="49" t="n">
        <x:f>'LRAI_v1_Scoring'!AH8</x:f>
        <x:v>0.6492344881506206</x:v>
      </x:c>
      <x:c r="R8" s="49" t="n">
        <x:f>'LRAI_v1_Scoring'!AI8</x:f>
        <x:v>0.6198702350340161</x:v>
      </x:c>
      <x:c r="S8" s="49" t="n">
        <x:f>'LRAI_v1_Scoring'!AJ8</x:f>
        <x:v>0.6198702350340161</x:v>
      </x:c>
      <x:c r="T8" s="49" t="n">
        <x:f>'LRAI_v1_Scoring'!AK8</x:f>
        <x:v>0.7032035683673493</x:v>
      </x:c>
    </x:row>
    <x:row r="9">
      <x:c r="A9" s="14" t="str">
        <x:f>'LRAI_v1_Scoring'!A9</x:f>
        <x:v>Meitei (Manipuri)</x:v>
      </x:c>
      <x:c r="B9" s="14" t="n">
        <x:f>1+COUNTIF($M$2:$M$10,"&gt;"&amp;M9)</x:f>
        <x:v>1</x:v>
      </x:c>
      <x:c r="C9" s="14" t="n">
        <x:f>1+COUNTIF($N$2:$N$10,"&gt;"&amp;N9)</x:f>
        <x:v>1</x:v>
      </x:c>
      <x:c r="D9" s="14" t="n">
        <x:f>1+COUNTIF($O$2:$O$10,"&gt;"&amp;O9)</x:f>
        <x:v>1</x:v>
      </x:c>
      <x:c r="E9" s="14" t="n">
        <x:f>1+COUNTIF($P$2:$P$10,"&gt;"&amp;P9)</x:f>
        <x:v>1</x:v>
      </x:c>
      <x:c r="F9" s="14" t="n">
        <x:f>1+COUNTIF($Q$2:$Q$10,"&gt;"&amp;Q9)</x:f>
        <x:v>2</x:v>
      </x:c>
      <x:c r="G9" s="14" t="n">
        <x:f>1+COUNTIF($R$2:$R$10,"&gt;"&amp;R9)</x:f>
        <x:v>1</x:v>
      </x:c>
      <x:c r="H9" s="14" t="n">
        <x:f>1+COUNTIF($S$2:$S$10,"&gt;"&amp;S9)</x:f>
        <x:v>2</x:v>
      </x:c>
      <x:c r="I9" s="14" t="n">
        <x:f>1+COUNTIF($T$2:$T$10,"&gt;"&amp;T9)</x:f>
        <x:v>3</x:v>
      </x:c>
      <x:c r="K9" t="str">
        <x:v>Minimum stability</x:v>
      </x:c>
      <x:c r="L9" s="49" t="n">
        <x:f>MIN(L2:L8)</x:f>
        <x:v>0.7999999999999999</x:v>
      </x:c>
      <x:c r="M9" s="49" t="n">
        <x:f>'LRAI_v1_Scoring'!AA9</x:f>
        <x:v>0.6918516245410681</x:v>
      </x:c>
      <x:c r="N9" s="49" t="n">
        <x:f>'LRAI_v1_Scoring'!AE9</x:f>
        <x:v>0.6529096395284227</x:v>
      </x:c>
      <x:c r="O9" s="49" t="n">
        <x:f>'LRAI_v1_Scoring'!AF9</x:f>
        <x:v>0.7920786383689599</x:v>
      </x:c>
      <x:c r="P9" s="49" t="n">
        <x:f>'LRAI_v1_Scoring'!AG9</x:f>
        <x:v>0.792906797907901</x:v>
      </x:c>
      <x:c r="Q9" s="49" t="n">
        <x:f>'LRAI_v1_Scoring'!AH9</x:f>
        <x:v>0.6835856100884549</x:v>
      </x:c>
      <x:c r="R9" s="49" t="n">
        <x:f>'LRAI_v1_Scoring'!AI9</x:f>
        <x:v>0.6404935619645794</x:v>
      </x:c>
      <x:c r="S9" s="49" t="n">
        <x:f>'LRAI_v1_Scoring'!AJ9</x:f>
        <x:v>0.6404935619645794</x:v>
      </x:c>
      <x:c r="T9" s="49" t="n">
        <x:f>'LRAI_v1_Scoring'!AK9</x:f>
        <x:v>0.6404935619645794</x:v>
      </x:c>
    </x:row>
    <x:row r="10">
      <x:c r="A10" s="14" t="str">
        <x:f>'LRAI_v1_Scoring'!A10</x:f>
        <x:v>Sindhi</x:v>
      </x:c>
      <x:c r="B10" s="14" t="n">
        <x:f>1+COUNTIF($M$2:$M$10,"&gt;"&amp;M10)</x:f>
        <x:v>7</x:v>
      </x:c>
      <x:c r="C10" s="14" t="n">
        <x:f>1+COUNTIF($N$2:$N$10,"&gt;"&amp;N10)</x:f>
        <x:v>8</x:v>
      </x:c>
      <x:c r="D10" s="14" t="n">
        <x:f>1+COUNTIF($O$2:$O$10,"&gt;"&amp;O10)</x:f>
        <x:v>7</x:v>
      </x:c>
      <x:c r="E10" s="14" t="n">
        <x:f>1+COUNTIF($P$2:$P$10,"&gt;"&amp;P10)</x:f>
        <x:v>5</x:v>
      </x:c>
      <x:c r="F10" s="14" t="n">
        <x:f>1+COUNTIF($Q$2:$Q$10,"&gt;"&amp;Q10)</x:f>
        <x:v>6</x:v>
      </x:c>
      <x:c r="G10" s="14" t="n">
        <x:f>1+COUNTIF($R$2:$R$10,"&gt;"&amp;R10)</x:f>
        <x:v>7</x:v>
      </x:c>
      <x:c r="H10" s="14" t="n">
        <x:f>1+COUNTIF($S$2:$S$10,"&gt;"&amp;S10)</x:f>
        <x:v>7</x:v>
      </x:c>
      <x:c r="I10" s="14" t="n">
        <x:f>1+COUNTIF($T$2:$T$10,"&gt;"&amp;T10)</x:f>
        <x:v>4</x:v>
      </x:c>
      <x:c r="M10" s="49" t="n">
        <x:f>'LRAI_v1_Scoring'!AA10</x:f>
        <x:v>0.41719697844814296</x:v>
      </x:c>
      <x:c r="N10" s="49" t="n">
        <x:f>'LRAI_v1_Scoring'!AE10</x:f>
        <x:v>0.32006314152283344</x:v>
      </x:c>
      <x:c r="O10" s="49" t="n">
        <x:f>'LRAI_v1_Scoring'!AF10</x:f>
        <x:v>0.32006314152283344</x:v>
      </x:c>
      <x:c r="P10" s="49" t="n">
        <x:f>'LRAI_v1_Scoring'!AG10</x:f>
        <x:v>0.483140419042606</x:v>
      </x:c>
      <x:c r="Q10" s="49" t="n">
        <x:f>'LRAI_v1_Scoring'!AH10</x:f>
        <x:v>0.4202560558135608</x:v>
      </x:c>
      <x:c r="R10" s="49" t="n">
        <x:f>'LRAI_v1_Scoring'!AI10</x:f>
        <x:v>0.40339647485616675</x:v>
      </x:c>
      <x:c r="S10" s="49" t="n">
        <x:f>'LRAI_v1_Scoring'!AJ10</x:f>
        <x:v>0.4867298081895001</x:v>
      </x:c>
      <x:c r="T10" s="49" t="n">
        <x:f>'LRAI_v1_Scoring'!AK10</x:f>
        <x:v>0.4867298081895001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47" t="str">
        <x:v>LRAI v1 Freeze Decision</x:v>
      </x:c>
      <x:c r="B1" s="47" t="str"/>
    </x:row>
    <x:row r="2">
      <x:c r="A2" s="48" t="str">
        <x:v>Decision status</x:v>
      </x:c>
      <x:c r="B2" s="14" t="str">
        <x:f>'LRAI_v1_Validation'!Q10</x:f>
        <x:v>NOT YET READY TO FREEZE</x:v>
      </x:c>
    </x:row>
    <x:row r="3">
      <x:c r="A3" s="48" t="str">
        <x:v>Reason</x:v>
      </x:c>
      <x:c r="B3" s="14" t="str">
        <x:f>IF(B2="READY TO FREEZE","All predefined stability checks pass.","At least one predefined stability or completeness check requires attention.")</x:f>
        <x:v>At least one predefined stability or completeness check requires attention.</x:v>
      </x:c>
    </x:row>
    <x:row r="4">
      <x:c r="A4" s="48" t="str">
        <x:v>Primary unresolved issue</x:v>
      </x:c>
      <x:c r="B4" s="14" t="str">
        <x:v>Resolved: verified Perso-Arabic Sindhi-English parallel corpus (~25,000 pairs) added.</x:v>
      </x:c>
    </x:row>
    <x:row r="5">
      <x:c r="A5" s="48" t="str">
        <x:v>Robustness criterion 1</x:v>
      </x:c>
      <x:c r="B5" s="14" t="str">
        <x:v>Primary-vs-aggregate Spearman ≥ 0.90.</x:v>
      </x:c>
    </x:row>
    <x:row r="6">
      <x:c r="A6" s="48" t="str">
        <x:v>Robustness criterion 2</x:v>
      </x:c>
      <x:c r="B6" s="14" t="str">
        <x:v>No language shifts by ≥2 ranks between primary and aggregate variants.</x:v>
      </x:c>
    </x:row>
    <x:row r="7">
      <x:c r="A7" s="48" t="str">
        <x:v>Robustness criterion 3</x:v>
      </x:c>
      <x:c r="B7" s="14" t="str">
        <x:v>No language has max absolute leave-one-component-out deviation &gt; 0.12.</x:v>
      </x:c>
    </x:row>
    <x:row r="8">
      <x:c r="A8" s="48" t="str">
        <x:v>Robustness criterion 4</x:v>
      </x:c>
      <x:c r="B8" s="14" t="str">
        <x:v>Minimum leave-one-component-out rank correlation with base ≥ 0.85.</x:v>
      </x:c>
    </x:row>
    <x:row r="9">
      <x:c r="A9" s="48" t="str">
        <x:v>Interpretation</x:v>
      </x:c>
      <x:c r="B9" s="14" t="str">
        <x:v>These are preregistered working thresholds for freeze readiness, not universal statistical laws.</x:v>
      </x:c>
    </x:row>
    <x:row r="10">
      <x:c r="A10" s="48" t="str">
        <x:v>If criteria pass</x:v>
      </x:c>
      <x:c r="B10" s="14" t="str">
        <x:v>Freeze equal-weight primary-script LRAI as primary index; retain aggregate and rank-based variants as sensitivity analyses.</x:v>
      </x:c>
    </x:row>
    <x:row r="11">
      <x:c r="A11" s="48" t="str">
        <x:v>If criteria fail</x:v>
      </x:c>
      <x:c r="B11" s="14" t="str">
        <x:v>Revisit component coding or evidence before using LRAI as an explanatory variable.</x:v>
      </x:c>
    </x:row>
    <x:row r="12">
      <x:c r="A12" s="48" t="str">
        <x:v>Sanskrit rule</x:v>
      </x:c>
      <x:c r="B12" s="14" t="str">
        <x:v>Historical textual heritage remains excluded from the computational-resource composite.</x:v>
      </x:c>
    </x:row>
    <x:row r="13">
      <x:c r="A13" s="48" t="str">
        <x:v>Inference rule</x:v>
      </x:c>
      <x:c r="B13" s="14" t="str">
        <x:v>With n=9 languages, report associations descriptively/Spearman with leave-one-language-out sensitivity; avoid causal language.</x:v>
      </x:c>
    </x:row>
    <x:row r="14">
      <x:c r="A14" s="48" t="str">
        <x:v>Next step after freeze</x:v>
      </x:c>
      <x:c r="B14" s="14" t="str">
        <x:v>Merge frozen LRAI with generation/annotation outcomes and test association with EAS, English-referenced gap, and language-retention rate.</x:v>
      </x:c>
    </x:row>
    <x:row r="15">
      <x:c r="A15" s="56" t="str">
        <x:v>Evidence update</x:v>
      </x:c>
      <x:c r="B15" s="14" t="str">
        <x:v>Sindhi primary-script parallel evidence resolved on 2026-09-10 using a July 2026 Perso-Arabic Sindhi-English corpus.</x:v>
      </x:c>
    </x:row>
    <x:row r="16">
      <x:c r="A16" s="56" t="str">
        <x:v>Source URL</x:v>
      </x:c>
      <x:c r="B16" s="14" t="str">
        <x:v>https://mozilladatacollective.com/datasets/cmr29jici02trmk07l5xlcsak</x:v>
      </x:c>
    </x:row>
  </x:sheetData>
  <x:mergeCells>
    <x:mergeCell ref="A1:B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0" hidden="0" customWidth="1"/>
  </x:cols>
  <x:sheetData>
    <x:row r="1">
      <x:c r="A1" s="55" t="str">
        <x:v>Sindhi Primary-Script Evidence Resolution</x:v>
      </x:c>
      <x:c r="B1" s="55" t="str"/>
    </x:row>
    <x:row r="2">
      <x:c r="A2" s="56" t="str">
        <x:v>Resource</x:v>
      </x:c>
      <x:c r="B2" s="14" t="str">
        <x:v>Sindhi to English Parallel Corpus</x:v>
      </x:c>
    </x:row>
    <x:row r="3">
      <x:c r="A3" s="56" t="str">
        <x:v>Primary script</x:v>
      </x:c>
      <x:c r="B3" s="14" t="str">
        <x:v>Perso-Arabic Sindhi</x:v>
      </x:c>
    </x:row>
    <x:row r="4">
      <x:c r="A4" s="56" t="str">
        <x:v>Size</x:v>
      </x:c>
      <x:c r="B4" s="14" t="str">
        <x:v>Nearly 25,000 sentence pairs (~0.025M)</x:v>
      </x:c>
    </x:row>
    <x:row r="5">
      <x:c r="A5" s="56" t="str">
        <x:v>Task</x:v>
      </x:c>
      <x:c r="B5" s="14" t="str">
        <x:v>Machine translation / parallel corpus</x:v>
      </x:c>
    </x:row>
    <x:row r="6">
      <x:c r="A6" s="56" t="str">
        <x:v>Release date</x:v>
      </x:c>
      <x:c r="B6" s="14" t="str">
        <x:v>2026-07-01</x:v>
      </x:c>
    </x:row>
    <x:row r="7">
      <x:c r="A7" s="56" t="str">
        <x:v>License</x:v>
      </x:c>
      <x:c r="B7" s="14" t="str">
        <x:v>CC-BY-NC-4.0</x:v>
      </x:c>
    </x:row>
    <x:row r="8">
      <x:c r="A8" s="56" t="str">
        <x:v>Source</x:v>
      </x:c>
      <x:c r="B8" s="14" t="str">
        <x:v>https://mozilladatacollective.com/datasets/cmr29jici02trmk07l5xlcsak</x:v>
      </x:c>
    </x:row>
    <x:row r="9">
      <x:c r="A9" s="56" t="str">
        <x:v>LRAI treatment</x:v>
      </x:c>
      <x:c r="B9" s="14" t="str">
        <x:v>Used as verified primary-script parallel-data evidence for Sindhi.</x:v>
      </x:c>
    </x:row>
    <x:row r="10">
      <x:c r="A10" s="56" t="str">
        <x:v>Caveat</x:v>
      </x:c>
      <x:c r="B10" s="14" t="str">
        <x:v>Recent community-stewarded dataset; retain source-quality/provenance note in manuscript and sensitivity appendix.</x:v>
      </x:c>
    </x:row>
  </x:sheetData>
  <x:mergeCells>
    <x:mergeCell ref="A1:B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4" hidden="0" customWidth="1"/>
    <x:col min="4" max="4" width="12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  <x:col min="10" max="10" width="16" hidden="0" customWidth="1"/>
    <x:col min="11" max="11" width="18" hidden="0" customWidth="1"/>
    <x:col min="12" max="12" width="14" hidden="0" customWidth="1"/>
    <x:col min="13" max="13" width="16" hidden="0" customWidth="1"/>
    <x:col min="14" max="14" width="16" hidden="0" customWidth="1"/>
    <x:col min="15" max="15" width="28" hidden="0" customWidth="1"/>
    <x:col min="17" max="17" width="30" hidden="0" customWidth="1"/>
    <x:col min="18" max="18" width="52" hidden="0" customWidth="1"/>
  </x:cols>
  <x:sheetData>
    <x:row r="1">
      <x:c r="A1" s="60" t="str">
        <x:v>language</x:v>
      </x:c>
      <x:c r="B1" s="60" t="str">
        <x:v>code</x:v>
      </x:c>
      <x:c r="C1" s="60" t="str">
        <x:v>base_LRAI</x:v>
      </x:c>
      <x:c r="D1" s="60" t="str">
        <x:v>base_rank</x:v>
      </x:c>
      <x:c r="E1" s="60" t="str">
        <x:v>no_script_LRAI</x:v>
      </x:c>
      <x:c r="F1" s="60" t="str">
        <x:v>no_script_rank</x:v>
      </x:c>
      <x:c r="G1" s="60" t="str">
        <x:v>binary_script_score</x:v>
      </x:c>
      <x:c r="H1" s="60" t="str">
        <x:v>binary_script_LRAI</x:v>
      </x:c>
      <x:c r="I1" s="60" t="str">
        <x:v>binary_rank</x:v>
      </x:c>
      <x:c r="J1" s="60" t="str">
        <x:v>readiness_score</x:v>
      </x:c>
      <x:c r="K1" s="60" t="str">
        <x:v>readiness_LRAI</x:v>
      </x:c>
      <x:c r="L1" s="60" t="str">
        <x:v>readiness_rank</x:v>
      </x:c>
      <x:c r="M1" s="60" t="str">
        <x:v>max_rank_shift</x:v>
      </x:c>
      <x:c r="N1" s="60" t="str">
        <x:v>max_score_shift</x:v>
      </x:c>
      <x:c r="O1" s="60" t="str">
        <x:v>interpretation</x:v>
      </x:c>
      <x:c r="P1" s="14"/>
      <x:c r="Q1" s="63" t="str">
        <x:v>Sensitivity metric</x:v>
      </x:c>
      <x:c r="R1" s="63" t="str">
        <x:v>Value</x:v>
      </x:c>
    </x:row>
    <x:row r="2">
      <x:c r="A2" s="14" t="str">
        <x:f>'LRAI_v1_Scoring'!A2</x:f>
        <x:v>Sanskrit</x:v>
      </x:c>
      <x:c r="B2" s="14" t="str">
        <x:f>'LRAI_v1_Scoring'!B2</x:f>
        <x:v>SAN</x:v>
      </x:c>
      <x:c r="C2" s="24" t="n">
        <x:f>'LRAI_v1_Scoring'!AA2</x:f>
        <x:v>0.6885974406986953</x:v>
      </x:c>
      <x:c r="D2" s="14" t="n">
        <x:f>1+COUNTIF($C$2:$C$10,"&gt;"&amp;C2)</x:f>
        <x:v>2</x:v>
      </x:c>
      <x:c r="E2" s="24" t="n">
        <x:f>AVERAGE('LRAI_v1_Scoring'!O2,'LRAI_v1_Scoring'!P2,'LRAI_v1_Scoring'!Q2,'LRAI_v1_Scoring'!W2,'LRAI_v1_Scoring'!X2,'LRAI_v1_Scoring'!Y2)</x:f>
        <x:v>0.7200303474818113</x:v>
      </x:c>
      <x:c r="F2" s="14" t="n">
        <x:f>1+COUNTIF($E$2:$E$10,"&gt;"&amp;E2)</x:f>
        <x:v>1</x:v>
      </x:c>
      <x:c r="G2" s="14" t="n">
        <x:v>1</x:v>
      </x:c>
      <x:c r="H2" s="24" t="n">
        <x:f>AVERAGE('LRAI_v1_Scoring'!O2,'LRAI_v1_Scoring'!P2,'LRAI_v1_Scoring'!Q2,'LRAI_v1_Scoring'!W2,'LRAI_v1_Scoring'!X2,'LRAI_v1_Scoring'!Y2,G2)</x:f>
        <x:v>0.7600260121272668</x:v>
      </x:c>
      <x:c r="I2" s="14" t="n">
        <x:f>1+COUNTIF($H$2:$H$10,"&gt;"&amp;H2)</x:f>
        <x:v>1</x:v>
      </x:c>
      <x:c r="J2" s="14" t="n">
        <x:v>1</x:v>
      </x:c>
      <x:c r="K2" s="24" t="n">
        <x:f>AVERAGE('LRAI_v1_Scoring'!O2,'LRAI_v1_Scoring'!P2,'LRAI_v1_Scoring'!Q2,'LRAI_v1_Scoring'!W2,'LRAI_v1_Scoring'!X2,'LRAI_v1_Scoring'!Y2,J2)</x:f>
        <x:v>0.7600260121272668</x:v>
      </x:c>
      <x:c r="L2" s="14" t="n">
        <x:f>1+COUNTIF($K$2:$K$10,"&gt;"&amp;K2)</x:f>
        <x:v>1</x:v>
      </x:c>
      <x:c r="M2" s="14" t="n">
        <x:f>MAX(ABS(D2-F2),ABS(D2-I2),ABS(D2-L2))</x:f>
        <x:v>1</x:v>
      </x:c>
      <x:c r="N2" s="24" t="n">
        <x:f>MAX(ABS(C2-E2),ABS(C2-H2),ABS(C2-K2))</x:f>
        <x:v>0.07142857142857151</x:v>
      </x:c>
      <x:c r="O2" s="14" t="str">
        <x:f>IF(M2&lt;=2,"Substantive ordering robust","Material rank sensitivity")</x:f>
        <x:v>Substantive ordering robust</x:v>
      </x:c>
      <x:c r="P2" s="14"/>
      <x:c r="Q2" s="14" t="str">
        <x:v>Spearman base vs no-script</x:v>
      </x:c>
      <x:c r="R2" s="24" t="n">
        <x:f>CORREL(D2:D10,F2:F10)</x:f>
        <x:v>0.7999999999999999</x:v>
      </x:c>
    </x:row>
    <x:row r="3">
      <x:c r="A3" s="14" t="str">
        <x:f>'LRAI_v1_Scoring'!A3</x:f>
        <x:v>Santali</x:v>
      </x:c>
      <x:c r="B3" s="14" t="str">
        <x:f>'LRAI_v1_Scoring'!B3</x:f>
        <x:v>SAT</x:v>
      </x:c>
      <x:c r="C3" s="24" t="n">
        <x:f>'LRAI_v1_Scoring'!AA3</x:f>
        <x:v>0.453458833427051</x:v>
      </x:c>
      <x:c r="D3" s="14" t="n">
        <x:f>1+COUNTIF($C$2:$C$10,"&gt;"&amp;C3)</x:f>
        <x:v>5</x:v>
      </x:c>
      <x:c r="E3" s="24" t="n">
        <x:f>AVERAGE('LRAI_v1_Scoring'!O3,'LRAI_v1_Scoring'!P3,'LRAI_v1_Scoring'!Q3,'LRAI_v1_Scoring'!W3,'LRAI_v1_Scoring'!X3,'LRAI_v1_Scoring'!Y3)</x:f>
        <x:v>0.3623686389982262</x:v>
      </x:c>
      <x:c r="F3" s="14" t="n">
        <x:f>1+COUNTIF($E$2:$E$10,"&gt;"&amp;E3)</x:f>
        <x:v>7</x:v>
      </x:c>
      <x:c r="G3" s="14" t="n">
        <x:v>1</x:v>
      </x:c>
      <x:c r="H3" s="24" t="n">
        <x:f>AVERAGE('LRAI_v1_Scoring'!O3,'LRAI_v1_Scoring'!P3,'LRAI_v1_Scoring'!Q3,'LRAI_v1_Scoring'!W3,'LRAI_v1_Scoring'!X3,'LRAI_v1_Scoring'!Y3,G3)</x:f>
        <x:v>0.453458833427051</x:v>
      </x:c>
      <x:c r="I3" s="14" t="n">
        <x:f>1+COUNTIF($H$2:$H$10,"&gt;"&amp;H3)</x:f>
        <x:v>7</x:v>
      </x:c>
      <x:c r="J3" s="14" t="n">
        <x:v>0.5</x:v>
      </x:c>
      <x:c r="K3" s="24" t="n">
        <x:f>AVERAGE('LRAI_v1_Scoring'!O3,'LRAI_v1_Scoring'!P3,'LRAI_v1_Scoring'!Q3,'LRAI_v1_Scoring'!W3,'LRAI_v1_Scoring'!X3,'LRAI_v1_Scoring'!Y3,J3)</x:f>
        <x:v>0.3820302619984796</x:v>
      </x:c>
      <x:c r="L3" s="14" t="n">
        <x:f>1+COUNTIF($K$2:$K$10,"&gt;"&amp;K3)</x:f>
        <x:v>7</x:v>
      </x:c>
      <x:c r="M3" s="14" t="n">
        <x:f>MAX(ABS(D3-F3),ABS(D3-I3),ABS(D3-L3))</x:f>
        <x:v>2</x:v>
      </x:c>
      <x:c r="N3" s="24" t="n">
        <x:f>MAX(ABS(C3-E3),ABS(C3-H3),ABS(C3-K3))</x:f>
        <x:v>0.09109019442882482</x:v>
      </x:c>
      <x:c r="O3" s="14" t="str">
        <x:f>IF(M3&lt;=2,"Substantive ordering robust","Material rank sensitivity")</x:f>
        <x:v>Substantive ordering robust</x:v>
      </x:c>
      <x:c r="P3" s="14"/>
      <x:c r="Q3" s="14" t="str">
        <x:v>Spearman base vs binary</x:v>
      </x:c>
      <x:c r="R3" s="24" t="n">
        <x:f>CORREL(D2:D10,I2:I10)</x:f>
        <x:v>0.7999999999999999</x:v>
      </x:c>
    </x:row>
    <x:row r="4">
      <x:c r="A4" s="14" t="str">
        <x:f>'LRAI_v1_Scoring'!A4</x:f>
        <x:v>Bodo</x:v>
      </x:c>
      <x:c r="B4" s="14" t="str">
        <x:f>'LRAI_v1_Scoring'!B4</x:f>
        <x:v>BOD</x:v>
      </x:c>
      <x:c r="C4" s="24" t="n">
        <x:f>'LRAI_v1_Scoring'!AA4</x:f>
        <x:v>0.2931957735207536</x:v>
      </x:c>
      <x:c r="D4" s="14" t="n">
        <x:f>1+COUNTIF($C$2:$C$10,"&gt;"&amp;C4)</x:f>
        <x:v>8</x:v>
      </x:c>
      <x:c r="E4" s="24" t="n">
        <x:f>AVERAGE('LRAI_v1_Scoring'!O4,'LRAI_v1_Scoring'!P4,'LRAI_v1_Scoring'!Q4,'LRAI_v1_Scoring'!W4,'LRAI_v1_Scoring'!X4,'LRAI_v1_Scoring'!Y4)</x:f>
        <x:v>0.2587284024408792</x:v>
      </x:c>
      <x:c r="F4" s="14" t="n">
        <x:f>1+COUNTIF($E$2:$E$10,"&gt;"&amp;E4)</x:f>
        <x:v>8</x:v>
      </x:c>
      <x:c r="G4" s="14" t="n">
        <x:v>1</x:v>
      </x:c>
      <x:c r="H4" s="24" t="n">
        <x:f>AVERAGE('LRAI_v1_Scoring'!O4,'LRAI_v1_Scoring'!P4,'LRAI_v1_Scoring'!Q4,'LRAI_v1_Scoring'!W4,'LRAI_v1_Scoring'!X4,'LRAI_v1_Scoring'!Y4,G4)</x:f>
        <x:v>0.36462434494932505</x:v>
      </x:c>
      <x:c r="I4" s="14" t="n">
        <x:f>1+COUNTIF($H$2:$H$10,"&gt;"&amp;H4)</x:f>
        <x:v>8</x:v>
      </x:c>
      <x:c r="J4" s="14" t="n">
        <x:v>1</x:v>
      </x:c>
      <x:c r="K4" s="24" t="n">
        <x:f>AVERAGE('LRAI_v1_Scoring'!O4,'LRAI_v1_Scoring'!P4,'LRAI_v1_Scoring'!Q4,'LRAI_v1_Scoring'!W4,'LRAI_v1_Scoring'!X4,'LRAI_v1_Scoring'!Y4,J4)</x:f>
        <x:v>0.36462434494932505</x:v>
      </x:c>
      <x:c r="L4" s="14" t="n">
        <x:f>1+COUNTIF($K$2:$K$10,"&gt;"&amp;K4)</x:f>
        <x:v>8</x:v>
      </x:c>
      <x:c r="M4" s="14" t="n">
        <x:f>MAX(ABS(D4-F4),ABS(D4-I4),ABS(D4-L4))</x:f>
        <x:v>0</x:v>
      </x:c>
      <x:c r="N4" s="24" t="n">
        <x:f>MAX(ABS(C4-E4),ABS(C4-H4),ABS(C4-K4))</x:f>
        <x:v>0.07142857142857145</x:v>
      </x:c>
      <x:c r="O4" s="14" t="str">
        <x:f>IF(M4&lt;=2,"Substantive ordering robust","Material rank sensitivity")</x:f>
        <x:v>Substantive ordering robust</x:v>
      </x:c>
      <x:c r="P4" s="14"/>
      <x:c r="Q4" s="14" t="str">
        <x:v>Spearman base vs readiness</x:v>
      </x:c>
      <x:c r="R4" s="24" t="n">
        <x:f>CORREL(D2:D10,L2:L10)</x:f>
        <x:v>0.7999999999999999</x:v>
      </x:c>
    </x:row>
    <x:row r="5">
      <x:c r="A5" s="14" t="str">
        <x:f>'LRAI_v1_Scoring'!A5</x:f>
        <x:v>Dogri</x:v>
      </x:c>
      <x:c r="B5" s="14" t="str">
        <x:f>'LRAI_v1_Scoring'!B5</x:f>
        <x:v>DOI</x:v>
      </x:c>
      <x:c r="C5" s="24" t="n">
        <x:f>'LRAI_v1_Scoring'!AA5</x:f>
        <x:v>0.19610594011002472</x:v>
      </x:c>
      <x:c r="D5" s="14" t="n">
        <x:f>1+COUNTIF($C$2:$C$10,"&gt;"&amp;C5)</x:f>
        <x:v>9</x:v>
      </x:c>
      <x:c r="E5" s="24" t="n">
        <x:f>AVERAGE('LRAI_v1_Scoring'!O5,'LRAI_v1_Scoring'!P5,'LRAI_v1_Scoring'!Q5,'LRAI_v1_Scoring'!W5,'LRAI_v1_Scoring'!X5,'LRAI_v1_Scoring'!Y5)</x:f>
        <x:v>0.14545693012836217</x:v>
      </x:c>
      <x:c r="F5" s="14" t="n">
        <x:f>1+COUNTIF($E$2:$E$10,"&gt;"&amp;E5)</x:f>
        <x:v>9</x:v>
      </x:c>
      <x:c r="G5" s="14" t="n">
        <x:v>1</x:v>
      </x:c>
      <x:c r="H5" s="24" t="n">
        <x:f>AVERAGE('LRAI_v1_Scoring'!O5,'LRAI_v1_Scoring'!P5,'LRAI_v1_Scoring'!Q5,'LRAI_v1_Scoring'!W5,'LRAI_v1_Scoring'!X5,'LRAI_v1_Scoring'!Y5,G5)</x:f>
        <x:v>0.26753451153859614</x:v>
      </x:c>
      <x:c r="I5" s="14" t="n">
        <x:f>1+COUNTIF($H$2:$H$10,"&gt;"&amp;H5)</x:f>
        <x:v>9</x:v>
      </x:c>
      <x:c r="J5" s="14" t="n">
        <x:v>1</x:v>
      </x:c>
      <x:c r="K5" s="24" t="n">
        <x:f>AVERAGE('LRAI_v1_Scoring'!O5,'LRAI_v1_Scoring'!P5,'LRAI_v1_Scoring'!Q5,'LRAI_v1_Scoring'!W5,'LRAI_v1_Scoring'!X5,'LRAI_v1_Scoring'!Y5,J5)</x:f>
        <x:v>0.26753451153859614</x:v>
      </x:c>
      <x:c r="L5" s="14" t="n">
        <x:f>1+COUNTIF($K$2:$K$10,"&gt;"&amp;K5)</x:f>
        <x:v>9</x:v>
      </x:c>
      <x:c r="M5" s="14" t="n">
        <x:f>MAX(ABS(D5-F5),ABS(D5-I5),ABS(D5-L5))</x:f>
        <x:v>0</x:v>
      </x:c>
      <x:c r="N5" s="24" t="n">
        <x:f>MAX(ABS(C5-E5),ABS(C5-H5),ABS(C5-K5))</x:f>
        <x:v>0.07142857142857142</x:v>
      </x:c>
      <x:c r="O5" s="14" t="str">
        <x:f>IF(M5&lt;=2,"Substantive ordering robust","Material rank sensitivity")</x:f>
        <x:v>Substantive ordering robust</x:v>
      </x:c>
      <x:c r="P5" s="14"/>
      <x:c r="Q5" s="14" t="str">
        <x:v>Minimum Spearman</x:v>
      </x:c>
      <x:c r="R5" s="24" t="n">
        <x:f>MIN(R2:R4)</x:f>
        <x:v>0.7999999999999999</x:v>
      </x:c>
    </x:row>
    <x:row r="6">
      <x:c r="A6" s="14" t="str">
        <x:f>'LRAI_v1_Scoring'!A6</x:f>
        <x:v>Konkani</x:v>
      </x:c>
      <x:c r="B6" s="14" t="str">
        <x:f>'LRAI_v1_Scoring'!B6</x:f>
        <x:v>KON</x:v>
      </x:c>
      <x:c r="C6" s="24" t="n">
        <x:f>'LRAI_v1_Scoring'!AA6</x:f>
        <x:v>0.42481963973751957</x:v>
      </x:c>
      <x:c r="D6" s="14" t="n">
        <x:f>1+COUNTIF($C$2:$C$10,"&gt;"&amp;C6)</x:f>
        <x:v>6</x:v>
      </x:c>
      <x:c r="E6" s="24" t="n">
        <x:f>AVERAGE('LRAI_v1_Scoring'!O6,'LRAI_v1_Scoring'!P6,'LRAI_v1_Scoring'!Q6,'LRAI_v1_Scoring'!W6,'LRAI_v1_Scoring'!X6,'LRAI_v1_Scoring'!Y6)</x:f>
        <x:v>0.41228957969377283</x:v>
      </x:c>
      <x:c r="F6" s="14" t="n">
        <x:f>1+COUNTIF($E$2:$E$10,"&gt;"&amp;E6)</x:f>
        <x:v>5</x:v>
      </x:c>
      <x:c r="G6" s="14" t="n">
        <x:v>1</x:v>
      </x:c>
      <x:c r="H6" s="24" t="n">
        <x:f>AVERAGE('LRAI_v1_Scoring'!O6,'LRAI_v1_Scoring'!P6,'LRAI_v1_Scoring'!Q6,'LRAI_v1_Scoring'!W6,'LRAI_v1_Scoring'!X6,'LRAI_v1_Scoring'!Y6,G6)</x:f>
        <x:v>0.49624821116609097</x:v>
      </x:c>
      <x:c r="I6" s="14" t="n">
        <x:f>1+COUNTIF($H$2:$H$10,"&gt;"&amp;H6)</x:f>
        <x:v>5</x:v>
      </x:c>
      <x:c r="J6" s="14" t="n">
        <x:v>1</x:v>
      </x:c>
      <x:c r="K6" s="24" t="n">
        <x:f>AVERAGE('LRAI_v1_Scoring'!O6,'LRAI_v1_Scoring'!P6,'LRAI_v1_Scoring'!Q6,'LRAI_v1_Scoring'!W6,'LRAI_v1_Scoring'!X6,'LRAI_v1_Scoring'!Y6,J6)</x:f>
        <x:v>0.49624821116609097</x:v>
      </x:c>
      <x:c r="L6" s="14" t="n">
        <x:f>1+COUNTIF($K$2:$K$10,"&gt;"&amp;K6)</x:f>
        <x:v>5</x:v>
      </x:c>
      <x:c r="M6" s="14" t="n">
        <x:f>MAX(ABS(D6-F6),ABS(D6-I6),ABS(D6-L6))</x:f>
        <x:v>1</x:v>
      </x:c>
      <x:c r="N6" s="24" t="n">
        <x:f>MAX(ABS(C6-E6),ABS(C6-H6),ABS(C6-K6))</x:f>
        <x:v>0.0714285714285714</x:v>
      </x:c>
      <x:c r="O6" s="14" t="str">
        <x:f>IF(M6&lt;=2,"Substantive ordering robust","Material rank sensitivity")</x:f>
        <x:v>Substantive ordering robust</x:v>
      </x:c>
      <x:c r="P6" s="14"/>
      <x:c r="Q6" s="14" t="str">
        <x:v>Maximum rank shift</x:v>
      </x:c>
      <x:c r="R6" s="24" t="n">
        <x:f>MAX(M2:M10)</x:f>
        <x:v>3</x:v>
      </x:c>
    </x:row>
    <x:row r="7">
      <x:c r="A7" s="14" t="str">
        <x:f>'LRAI_v1_Scoring'!A7</x:f>
        <x:v>Kashmiri</x:v>
      </x:c>
      <x:c r="B7" s="14" t="str">
        <x:f>'LRAI_v1_Scoring'!B7</x:f>
        <x:v>KAS</x:v>
      </x:c>
      <x:c r="C7" s="24" t="n">
        <x:f>'LRAI_v1_Scoring'!AA7</x:f>
        <x:v>0.4833767415506546</x:v>
      </x:c>
      <x:c r="D7" s="14" t="n">
        <x:f>1+COUNTIF($C$2:$C$10,"&gt;"&amp;C7)</x:f>
        <x:v>4</x:v>
      </x:c>
      <x:c r="E7" s="24" t="n">
        <x:f>AVERAGE('LRAI_v1_Scoring'!O7,'LRAI_v1_Scoring'!P7,'LRAI_v1_Scoring'!Q7,'LRAI_v1_Scoring'!W7,'LRAI_v1_Scoring'!X7,'LRAI_v1_Scoring'!Y7)</x:f>
        <x:v>0.3972728651424304</x:v>
      </x:c>
      <x:c r="F7" s="14" t="n">
        <x:f>1+COUNTIF($E$2:$E$10,"&gt;"&amp;E7)</x:f>
        <x:v>6</x:v>
      </x:c>
      <x:c r="G7" s="14" t="n">
        <x:v>1</x:v>
      </x:c>
      <x:c r="H7" s="24" t="n">
        <x:f>AVERAGE('LRAI_v1_Scoring'!O7,'LRAI_v1_Scoring'!P7,'LRAI_v1_Scoring'!Q7,'LRAI_v1_Scoring'!W7,'LRAI_v1_Scoring'!X7,'LRAI_v1_Scoring'!Y7,G7)</x:f>
        <x:v>0.4833767415506546</x:v>
      </x:c>
      <x:c r="I7" s="14" t="n">
        <x:f>1+COUNTIF($H$2:$H$10,"&gt;"&amp;H7)</x:f>
        <x:v>6</x:v>
      </x:c>
      <x:c r="J7" s="14" t="n">
        <x:v>0.75</x:v>
      </x:c>
      <x:c r="K7" s="24" t="n">
        <x:f>AVERAGE('LRAI_v1_Scoring'!O7,'LRAI_v1_Scoring'!P7,'LRAI_v1_Scoring'!Q7,'LRAI_v1_Scoring'!W7,'LRAI_v1_Scoring'!X7,'LRAI_v1_Scoring'!Y7,J7)</x:f>
        <x:v>0.4476624558363689</x:v>
      </x:c>
      <x:c r="L7" s="14" t="n">
        <x:f>1+COUNTIF($K$2:$K$10,"&gt;"&amp;K7)</x:f>
        <x:v>6</x:v>
      </x:c>
      <x:c r="M7" s="14" t="n">
        <x:f>MAX(ABS(D7-F7),ABS(D7-I7),ABS(D7-L7))</x:f>
        <x:v>2</x:v>
      </x:c>
      <x:c r="N7" s="24" t="n">
        <x:f>MAX(ABS(C7-E7),ABS(C7-H7),ABS(C7-K7))</x:f>
        <x:v>0.0861038764082242</x:v>
      </x:c>
      <x:c r="O7" s="14" t="str">
        <x:f>IF(M7&lt;=2,"Substantive ordering robust","Material rank sensitivity")</x:f>
        <x:v>Substantive ordering robust</x:v>
      </x:c>
      <x:c r="P7" s="14"/>
      <x:c r="Q7" s="14" t="str">
        <x:v>Maximum score shift</x:v>
      </x:c>
      <x:c r="R7" s="24" t="n">
        <x:f>MAX(N2:N10)</x:f>
        <x:v>0.1428571428571428</x:v>
      </x:c>
    </x:row>
    <x:row r="8">
      <x:c r="A8" s="14" t="str">
        <x:f>'LRAI_v1_Scoring'!A8</x:f>
        <x:v>Maithili</x:v>
      </x:c>
      <x:c r="B8" s="14" t="str">
        <x:f>'LRAI_v1_Scoring'!B8</x:f>
        <x:v>MAI</x:v>
      </x:c>
      <x:c r="C8" s="24" t="n">
        <x:f>'LRAI_v1_Scoring'!AA8</x:f>
        <x:v>0.6741744871720137</x:v>
      </x:c>
      <x:c r="D8" s="14" t="n">
        <x:f>1+COUNTIF($C$2:$C$10,"&gt;"&amp;C8)</x:f>
        <x:v>3</x:v>
      </x:c>
      <x:c r="E8" s="24" t="n">
        <x:f>AVERAGE('LRAI_v1_Scoring'!O8,'LRAI_v1_Scoring'!P8,'LRAI_v1_Scoring'!Q8,'LRAI_v1_Scoring'!W8,'LRAI_v1_Scoring'!X8,'LRAI_v1_Scoring'!Y8)</x:f>
        <x:v>0.7032035683673493</x:v>
      </x:c>
      <x:c r="F8" s="14" t="n">
        <x:f>1+COUNTIF($E$2:$E$10,"&gt;"&amp;E8)</x:f>
        <x:v>2</x:v>
      </x:c>
      <x:c r="G8" s="14" t="n">
        <x:v>1</x:v>
      </x:c>
      <x:c r="H8" s="24" t="n">
        <x:f>AVERAGE('LRAI_v1_Scoring'!O8,'LRAI_v1_Scoring'!P8,'LRAI_v1_Scoring'!Q8,'LRAI_v1_Scoring'!W8,'LRAI_v1_Scoring'!X8,'LRAI_v1_Scoring'!Y8,G8)</x:f>
        <x:v>0.7456030586005851</x:v>
      </x:c>
      <x:c r="I8" s="14" t="n">
        <x:f>1+COUNTIF($H$2:$H$10,"&gt;"&amp;H8)</x:f>
        <x:v>2</x:v>
      </x:c>
      <x:c r="J8" s="14" t="n">
        <x:v>1</x:v>
      </x:c>
      <x:c r="K8" s="24" t="n">
        <x:f>AVERAGE('LRAI_v1_Scoring'!O8,'LRAI_v1_Scoring'!P8,'LRAI_v1_Scoring'!Q8,'LRAI_v1_Scoring'!W8,'LRAI_v1_Scoring'!X8,'LRAI_v1_Scoring'!Y8,J8)</x:f>
        <x:v>0.7456030586005851</x:v>
      </x:c>
      <x:c r="L8" s="14" t="n">
        <x:f>1+COUNTIF($K$2:$K$10,"&gt;"&amp;K8)</x:f>
        <x:v>2</x:v>
      </x:c>
      <x:c r="M8" s="14" t="n">
        <x:f>MAX(ABS(D8-F8),ABS(D8-I8),ABS(D8-L8))</x:f>
        <x:v>1</x:v>
      </x:c>
      <x:c r="N8" s="24" t="n">
        <x:f>MAX(ABS(C8-E8),ABS(C8-H8),ABS(C8-K8))</x:f>
        <x:v>0.0714285714285714</x:v>
      </x:c>
      <x:c r="O8" s="14" t="str">
        <x:f>IF(M8&lt;=2,"Substantive ordering robust","Material rank sensitivity")</x:f>
        <x:v>Substantive ordering robust</x:v>
      </x:c>
      <x:c r="P8" s="14"/>
      <x:c r="Q8" s="14" t="str">
        <x:v>Languages with rank shift &gt;2</x:v>
      </x:c>
      <x:c r="R8" s="24" t="n">
        <x:f>COUNTIF(M2:M10,"&gt;2")</x:f>
        <x:v>1</x:v>
      </x:c>
    </x:row>
    <x:row r="9">
      <x:c r="A9" s="14" t="str">
        <x:f>'LRAI_v1_Scoring'!A9</x:f>
        <x:v>Meitei (Manipuri)</x:v>
      </x:c>
      <x:c r="B9" s="14" t="str">
        <x:f>'LRAI_v1_Scoring'!B9</x:f>
        <x:v>MNI</x:v>
      </x:c>
      <x:c r="C9" s="24" t="n">
        <x:f>'LRAI_v1_Scoring'!AA9</x:f>
        <x:v>0.6918516245410681</x:v>
      </x:c>
      <x:c r="D9" s="14" t="n">
        <x:f>1+COUNTIF($C$2:$C$10,"&gt;"&amp;C9)</x:f>
        <x:v>1</x:v>
      </x:c>
      <x:c r="E9" s="24" t="n">
        <x:f>AVERAGE('LRAI_v1_Scoring'!O9,'LRAI_v1_Scoring'!P9,'LRAI_v1_Scoring'!Q9,'LRAI_v1_Scoring'!W9,'LRAI_v1_Scoring'!X9,'LRAI_v1_Scoring'!Y9)</x:f>
        <x:v>0.6404935619645794</x:v>
      </x:c>
      <x:c r="F9" s="14" t="n">
        <x:f>1+COUNTIF($E$2:$E$10,"&gt;"&amp;E9)</x:f>
        <x:v>3</x:v>
      </x:c>
      <x:c r="G9" s="14" t="n">
        <x:v>1</x:v>
      </x:c>
      <x:c r="H9" s="24" t="n">
        <x:f>AVERAGE('LRAI_v1_Scoring'!O9,'LRAI_v1_Scoring'!P9,'LRAI_v1_Scoring'!Q9,'LRAI_v1_Scoring'!W9,'LRAI_v1_Scoring'!X9,'LRAI_v1_Scoring'!Y9,G9)</x:f>
        <x:v>0.6918516245410681</x:v>
      </x:c>
      <x:c r="I9" s="14" t="n">
        <x:f>1+COUNTIF($H$2:$H$10,"&gt;"&amp;H9)</x:f>
        <x:v>3</x:v>
      </x:c>
      <x:c r="J9" s="14" t="n">
        <x:v>0.5</x:v>
      </x:c>
      <x:c r="K9" s="24" t="n">
        <x:f>AVERAGE('LRAI_v1_Scoring'!O9,'LRAI_v1_Scoring'!P9,'LRAI_v1_Scoring'!Q9,'LRAI_v1_Scoring'!W9,'LRAI_v1_Scoring'!X9,'LRAI_v1_Scoring'!Y9,J9)</x:f>
        <x:v>0.6204230531124966</x:v>
      </x:c>
      <x:c r="L9" s="14" t="n">
        <x:f>1+COUNTIF($K$2:$K$10,"&gt;"&amp;K9)</x:f>
        <x:v>3</x:v>
      </x:c>
      <x:c r="M9" s="14" t="n">
        <x:f>MAX(ABS(D9-F9),ABS(D9-I9),ABS(D9-L9))</x:f>
        <x:v>2</x:v>
      </x:c>
      <x:c r="N9" s="24" t="n">
        <x:f>MAX(ABS(C9-E9),ABS(C9-H9),ABS(C9-K9))</x:f>
        <x:v>0.07142857142857151</x:v>
      </x:c>
      <x:c r="O9" s="14" t="str">
        <x:f>IF(M9&lt;=2,"Substantive ordering robust","Material rank sensitivity")</x:f>
        <x:v>Substantive ordering robust</x:v>
      </x:c>
      <x:c r="P9" s="14"/>
      <x:c r="Q9" s="14" t="str">
        <x:v>Recommended treatment</x:v>
      </x:c>
      <x:c r="R9" s="24" t="str">
        <x:f>IF(AND(R5&gt;=0.85,R8=0),"Treat script as a sensitivity/covariate rather than a required LRAI component","Retain script in LRAI but revise evidence-derived coding")</x:f>
        <x:v>Retain script in LRAI but revise evidence-derived coding</x:v>
      </x:c>
    </x:row>
    <x:row r="10">
      <x:c r="A10" s="14" t="str">
        <x:f>'LRAI_v1_Scoring'!A10</x:f>
        <x:v>Sindhi</x:v>
      </x:c>
      <x:c r="B10" s="14" t="str">
        <x:f>'LRAI_v1_Scoring'!B10</x:f>
        <x:v>SND</x:v>
      </x:c>
      <x:c r="C10" s="24" t="n">
        <x:f>'LRAI_v1_Scoring'!AA10</x:f>
        <x:v>0.41719697844814296</x:v>
      </x:c>
      <x:c r="D10" s="14" t="n">
        <x:f>1+COUNTIF($C$2:$C$10,"&gt;"&amp;C10)</x:f>
        <x:v>7</x:v>
      </x:c>
      <x:c r="E10" s="24" t="n">
        <x:f>AVERAGE('LRAI_v1_Scoring'!O10,'LRAI_v1_Scoring'!P10,'LRAI_v1_Scoring'!Q10,'LRAI_v1_Scoring'!W10,'LRAI_v1_Scoring'!X10,'LRAI_v1_Scoring'!Y10)</x:f>
        <x:v>0.4867298081895001</x:v>
      </x:c>
      <x:c r="F10" s="14" t="n">
        <x:f>1+COUNTIF($E$2:$E$10,"&gt;"&amp;E10)</x:f>
        <x:v>4</x:v>
      </x:c>
      <x:c r="G10" s="14" t="n">
        <x:v>1</x:v>
      </x:c>
      <x:c r="H10" s="24" t="n">
        <x:f>AVERAGE('LRAI_v1_Scoring'!O10,'LRAI_v1_Scoring'!P10,'LRAI_v1_Scoring'!Q10,'LRAI_v1_Scoring'!W10,'LRAI_v1_Scoring'!X10,'LRAI_v1_Scoring'!Y10,G10)</x:f>
        <x:v>0.5600541213052858</x:v>
      </x:c>
      <x:c r="I10" s="14" t="n">
        <x:f>1+COUNTIF($H$2:$H$10,"&gt;"&amp;H10)</x:f>
        <x:v>4</x:v>
      </x:c>
      <x:c r="J10" s="14" t="n">
        <x:v>0.75</x:v>
      </x:c>
      <x:c r="K10" s="24" t="n">
        <x:f>AVERAGE('LRAI_v1_Scoring'!O10,'LRAI_v1_Scoring'!P10,'LRAI_v1_Scoring'!Q10,'LRAI_v1_Scoring'!W10,'LRAI_v1_Scoring'!X10,'LRAI_v1_Scoring'!Y10,J10)</x:f>
        <x:v>0.5243398355910001</x:v>
      </x:c>
      <x:c r="L10" s="14" t="n">
        <x:f>1+COUNTIF($K$2:$K$10,"&gt;"&amp;K10)</x:f>
        <x:v>4</x:v>
      </x:c>
      <x:c r="M10" s="14" t="n">
        <x:f>MAX(ABS(D10-F10),ABS(D10-I10),ABS(D10-L10))</x:f>
        <x:v>3</x:v>
      </x:c>
      <x:c r="N10" s="24" t="n">
        <x:f>MAX(ABS(C10-E10),ABS(C10-H10),ABS(C10-K10))</x:f>
        <x:v>0.1428571428571428</x:v>
      </x:c>
      <x:c r="O10" s="14" t="str">
        <x:f>IF(M10&lt;=2,"Substantive ordering robust","Material rank sensitivity")</x:f>
        <x:v>Material rank sensitivity</x:v>
      </x:c>
      <x:c r="P10" s="14"/>
      <x:c r="Q10" s="14" t="str">
        <x:v>Freeze status</x:v>
      </x:c>
      <x:c r="R10" s="24" t="str">
        <x:f>IF(AND(R5&gt;=0.85,R8=0),"FREEZE-READY WITH SIX-COMPONENT PRIMARY LRAI","REQUIRES FURTHER SCRIPT MODELING")</x:f>
        <x:v>REQUIRES FURTHER SCRIPT MODELING</x:v>
      </x:c>
    </x:row>
  </x:sheetData>
  <x:conditionalFormatting sqref="M2:M10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00f5a1f247da4b54"/>
</x:worksheet>
</file>

<file path=xl/worksheets/sheet10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5" hidden="0" customWidth="1"/>
  </x:cols>
  <x:sheetData>
    <x:row r="1">
      <x:c r="A1" s="60" t="str">
        <x:v>LRAI Final Method Decision</x:v>
      </x:c>
      <x:c r="B1" s="60" t="str"/>
    </x:row>
    <x:row r="2">
      <x:c r="A2" s="66" t="str">
        <x:v>Question</x:v>
      </x:c>
      <x:c r="B2" s="14" t="str">
        <x:v>Should script support remain one of the seven equal-weight LRAI components?</x:v>
      </x:c>
    </x:row>
    <x:row r="3">
      <x:c r="A3" s="66" t="str">
        <x:v>Reason for sensitivity analysis</x:v>
      </x:c>
      <x:c r="B3" s="14" t="str">
        <x:v>Earlier leave-one-component-out analysis showed the largest rank instability when script support was removed.</x:v>
      </x:c>
    </x:row>
    <x:row r="4">
      <x:c r="A4" s="66" t="str">
        <x:v>Alternative 1</x:v>
      </x:c>
      <x:c r="B4" s="14" t="str">
        <x:v>Six-component LRAI: exclude script support from the resource-availability composite.</x:v>
      </x:c>
    </x:row>
    <x:row r="5">
      <x:c r="A5" s="66" t="str">
        <x:v>Alternative 2</x:v>
      </x:c>
      <x:c r="B5" s="14" t="str">
        <x:v>Binary script support: direct primary-script computational support verified / not verified.</x:v>
      </x:c>
    </x:row>
    <x:row r="6">
      <x:c r="A6" s="66" t="str">
        <x:v>Alternative 3</x:v>
      </x:c>
      <x:c r="B6" s="14" t="str">
        <x:v>Evidence-derived digital-readiness coding: Devanagari=High; Perso-Arabic=Medium-high; Meitei Mayek=Medium; Ol Chiki=Medium.</x:v>
      </x:c>
    </x:row>
    <x:row r="7">
      <x:c r="A7" s="66" t="str">
        <x:v>Recommended conceptual separation</x:v>
      </x:c>
      <x:c r="B7" s="14" t="str">
        <x:v>Resource quantity/coverage belongs in LRAI; script/tokenization conditions are better treated as a separate explanatory/moderating variable because script can affect model access even when resources exist.</x:v>
      </x:c>
    </x:row>
    <x:row r="8">
      <x:c r="A8" s="66" t="str">
        <x:v>Why</x:v>
      </x:c>
      <x:c r="B8" s="14" t="str">
        <x:v>Recent ACL 2026 work shows script-specific normalization and tokenizer design materially affect multilingual NLP performance, supporting explicit modeling of script effects rather than embedding an ordinal judgment inside resource quantity.</x:v>
      </x:c>
    </x:row>
    <x:row r="9">
      <x:c r="A9" s="66" t="str">
        <x:v>Primary index if sensitivity passes</x:v>
      </x:c>
      <x:c r="B9" s="14" t="str">
        <x:v>Six-component equal-weight LRAI: digital presence, monolingual corpus, parallel data, annotated resources, benchmark coverage, model/tool support.</x:v>
      </x:c>
    </x:row>
    <x:row r="10">
      <x:c r="A10" s="66" t="str">
        <x:v>Secondary analyses</x:v>
      </x:c>
      <x:c r="B10" s="14" t="str">
        <x:v>Seven-component legacy LRAI, aggregate-script LRAI, rank-based LRAI, and script-readiness sensitivity.</x:v>
      </x:c>
    </x:row>
    <x:row r="11">
      <x:c r="A11" s="66" t="str">
        <x:v>Script variable</x:v>
      </x:c>
      <x:c r="B11" s="14" t="str">
        <x:v>Report primary script and digital-readiness category separately; use it descriptively or as an interaction/sensitivity factor where sample size permits.</x:v>
      </x:c>
    </x:row>
    <x:row r="12">
      <x:c r="A12" s="66" t="str">
        <x:v>Sanskrit</x:v>
      </x:c>
      <x:c r="B12" s="14" t="str">
        <x:v>Historical textual heritage remains outside LRAI.</x:v>
      </x:c>
    </x:row>
    <x:row r="13">
      <x:c r="A13" s="66" t="str">
        <x:v>Causal language</x:v>
      </x:c>
      <x:c r="B13" s="14" t="str">
        <x:v>Prohibited: n=9 language-level units supports association/covariation, not causal inference.</x:v>
      </x:c>
    </x:row>
    <x:row r="14">
      <x:c r="A14" s="66" t="str">
        <x:v>Decision rule</x:v>
      </x:c>
      <x:c r="B14" s="14" t="str">
        <x:v>Freeze six-component primary LRAI only if all tested script treatments preserve rank correlation ≥0.85 and no language shifts by more than two ranks.</x:v>
      </x:c>
    </x:row>
    <x:row r="15">
      <x:c r="A15" s="66" t="str">
        <x:v>Current computed status</x:v>
      </x:c>
      <x:c r="B15" s="14" t="str">
        <x:f>'Script_Sensitivity'!R10</x:f>
        <x:v>REQUIRES FURTHER SCRIPT MODELING</x:v>
      </x:c>
    </x:row>
    <x:row r="16">
      <x:c r="A16" s="66" t="str">
        <x:v>Source anchors</x:v>
      </x:c>
      <x:c r="B16" s="14" t="str">
        <x:v>https://aclanthology.org/2026.findings-acl.1632/ ; https://aclanthology.org/2026.acl-long.551/ ; https://www.unesco.org/sites/default/files/medias/fichiers/2026/03/Bhasha%20Matters%20State%20of%20the%20Education%20Report%20of%202025%20on%20Mother%20Tongue%20and%20Multilingual%20Education.pdf</x:v>
      </x:c>
    </x:row>
  </x:sheetData>
  <x:mergeCells>
    <x:mergeCell ref="A1:B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8" hidden="0" customWidth="1"/>
    <x:col min="4" max="4" width="14" hidden="0" customWidth="1"/>
    <x:col min="5" max="5" width="12" hidden="0" customWidth="1"/>
    <x:col min="6" max="6" width="18" hidden="0" customWidth="1"/>
    <x:col min="7" max="7" width="18" hidden="0" customWidth="1"/>
    <x:col min="8" max="8" width="20" hidden="0" customWidth="1"/>
    <x:col min="9" max="9" width="24" hidden="0" customWidth="1"/>
    <x:col min="10" max="10" width="20" hidden="0" customWidth="1"/>
    <x:col min="11" max="11" width="12" hidden="0" customWidth="1"/>
    <x:col min="12" max="12" width="12" hidden="0" customWidth="1"/>
    <x:col min="13" max="13" width="15" hidden="0" customWidth="1"/>
    <x:col min="14" max="14" width="12" hidden="0" customWidth="1"/>
    <x:col min="15" max="15" width="20" hidden="0" customWidth="1"/>
    <x:col min="16" max="16" width="18" hidden="0" customWidth="1"/>
    <x:col min="17" max="17" width="55" hidden="0" customWidth="1"/>
    <x:col min="19" max="19" width="38" hidden="0" customWidth="1"/>
    <x:col min="20" max="20" width="55" hidden="0" customWidth="1"/>
    <x:col min="21" max="21" width="14" hidden="0" customWidth="1"/>
  </x:cols>
  <x:sheetData>
    <x:row r="1">
      <x:c r="A1" s="71" t="str">
        <x:v>language</x:v>
      </x:c>
      <x:c r="B1" s="71" t="str">
        <x:v>code</x:v>
      </x:c>
      <x:c r="C1" s="71" t="str">
        <x:v>primary_script</x:v>
      </x:c>
      <x:c r="D1" s="71" t="str">
        <x:v>LRAI6</x:v>
      </x:c>
      <x:c r="E1" s="71" t="str">
        <x:v>LRAI6_rank</x:v>
      </x:c>
      <x:c r="F1" s="71" t="str">
        <x:v>LRAI6_rank_based</x:v>
      </x:c>
      <x:c r="G1" s="71" t="str">
        <x:v>SCSI_unicode_input</x:v>
      </x:c>
      <x:c r="H1" s="71" t="str">
        <x:v>SCSI_digital_readiness</x:v>
      </x:c>
      <x:c r="I1" s="71" t="str">
        <x:v>SCSI_primary_script_resource</x:v>
      </x:c>
      <x:c r="J1" s="71" t="str">
        <x:v>SCSI_tokenizer_evidence</x:v>
      </x:c>
      <x:c r="K1" s="71" t="str">
        <x:v>SCSI</x:v>
      </x:c>
      <x:c r="L1" s="71" t="str">
        <x:v>SCSI_rank</x:v>
      </x:c>
      <x:c r="M1" s="71" t="str">
        <x:v>legacy_LRAI7</x:v>
      </x:c>
      <x:c r="N1" s="71" t="str">
        <x:v>legacy_rank</x:v>
      </x:c>
      <x:c r="O1" s="71" t="str">
        <x:v>rank_shift_LRAI6_vs_7</x:v>
      </x:c>
      <x:c r="P1" s="71" t="str">
        <x:v>freeze_status</x:v>
      </x:c>
      <x:c r="Q1" s="71" t="str">
        <x:v>method_note</x:v>
      </x:c>
      <x:c r="R1" s="14"/>
      <x:c r="S1" s="74" t="str">
        <x:v>Freeze-readiness metric</x:v>
      </x:c>
      <x:c r="T1" s="74" t="str">
        <x:v>Value</x:v>
      </x:c>
      <x:c r="U1" s="14" t="str">
        <x:v>rank_rankbased</x:v>
      </x:c>
    </x:row>
    <x:row r="2">
      <x:c r="A2" s="14" t="str">
        <x:f>'LRAI_v1_Scoring'!A2</x:f>
        <x:v>Sanskrit</x:v>
      </x:c>
      <x:c r="B2" s="14" t="str">
        <x:f>'LRAI_v1_Scoring'!B2</x:f>
        <x:v>SAN</x:v>
      </x:c>
      <x:c r="C2" s="14" t="str">
        <x:f>'LRAI_v1_Scoring'!C2</x:f>
        <x:v>Devanagari</x:v>
      </x:c>
      <x:c r="D2" s="24" t="n">
        <x:f>AVERAGE('LRAI_v1_Scoring'!O2,'LRAI_v1_Scoring'!P2,'LRAI_v1_Scoring'!Q2,'LRAI_v1_Scoring'!W2,'LRAI_v1_Scoring'!X2,'LRAI_v1_Scoring'!Y2)</x:f>
        <x:v>0.7200303474818113</x:v>
      </x:c>
      <x:c r="E2" s="14" t="n">
        <x:f>1+COUNTIF($D$2:$D$10,"&gt;"&amp;D2)</x:f>
        <x:v>1</x:v>
      </x:c>
      <x:c r="F2" s="24" t="n">
        <x:f>AVERAGE((RANK.EQ('LRAI_v1_Scoring'!O2,'LRAI_v1_Scoring'!$O$2:$O$10,1)-1)/8,(RANK.EQ('LRAI_v1_Scoring'!P2,'LRAI_v1_Scoring'!$P$2:$P$10,1)-1)/8,(RANK.EQ('LRAI_v1_Scoring'!Q2,'LRAI_v1_Scoring'!$Q$2:$Q$10,1)-1)/8,(RANK.EQ('LRAI_v1_Scoring'!W2,'LRAI_v1_Scoring'!$W$2:$W$10,1)-1)/8,(RANK.EQ('LRAI_v1_Scoring'!X2,'LRAI_v1_Scoring'!$X$2:$X$10,1)-1)/8,(RANK.EQ('LRAI_v1_Scoring'!Y2,'LRAI_v1_Scoring'!$Y$2:$Y$10,1)-1)/8)</x:f>
        <x:v>0.5416666666666666</x:v>
      </x:c>
      <x:c r="G2" s="24" t="n">
        <x:v>1</x:v>
      </x:c>
      <x:c r="H2" s="24" t="n">
        <x:v>1</x:v>
      </x:c>
      <x:c r="I2" s="24" t="n">
        <x:v>1</x:v>
      </x:c>
      <x:c r="J2" s="24" t="n">
        <x:v>1</x:v>
      </x:c>
      <x:c r="K2" s="24" t="n">
        <x:f>AVERAGE(G2:J2)</x:f>
        <x:v>1</x:v>
      </x:c>
      <x:c r="L2" s="14" t="n">
        <x:f>1+COUNTIF($K$2:$K$10,"&gt;"&amp;K2)</x:f>
        <x:v>1</x:v>
      </x:c>
      <x:c r="M2" s="24" t="n">
        <x:f>'LRAI_v1_Scoring'!AA2</x:f>
        <x:v>0.6885974406986953</x:v>
      </x:c>
      <x:c r="N2" s="14" t="n">
        <x:f>1+COUNTIF($M$2:$M$10,"&gt;"&amp;M2)</x:f>
        <x:v>2</x:v>
      </x:c>
      <x:c r="O2" s="14" t="n">
        <x:f>ABS(E2-N2)</x:f>
        <x:v>1</x:v>
      </x:c>
      <x:c r="P2" s="14" t="str">
        <x:f>IF(O2&lt;=3,"FREEZE CANDIDATE","REVIEW")</x:f>
        <x:v>FREEZE CANDIDATE</x:v>
      </x:c>
      <x:c r="Q2" s="14" t="str">
        <x:v>LRAI6 measures resource availability; SCSI is retained separately as script-mediated computational accessibility.</x:v>
      </x:c>
      <x:c r="R2" s="14"/>
      <x:c r="S2" s="14" t="str">
        <x:v>Spearman LRAI6 vs legacy LRAI7</x:v>
      </x:c>
      <x:c r="T2" s="24" t="n">
        <x:f>CORREL(E2:E10,N2:N10)</x:f>
        <x:v>0.7999999999999999</x:v>
      </x:c>
      <x:c r="U2" s="14" t="n">
        <x:f>1+COUNTIF($F$2:$F$10,"&gt;"&amp;F2)</x:f>
        <x:v>2</x:v>
      </x:c>
    </x:row>
    <x:row r="3">
      <x:c r="A3" s="14" t="str">
        <x:f>'LRAI_v1_Scoring'!A3</x:f>
        <x:v>Santali</x:v>
      </x:c>
      <x:c r="B3" s="14" t="str">
        <x:f>'LRAI_v1_Scoring'!B3</x:f>
        <x:v>SAT</x:v>
      </x:c>
      <x:c r="C3" s="14" t="str">
        <x:f>'LRAI_v1_Scoring'!C3</x:f>
        <x:v>Ol Chiki</x:v>
      </x:c>
      <x:c r="D3" s="24" t="n">
        <x:f>AVERAGE('LRAI_v1_Scoring'!O3,'LRAI_v1_Scoring'!P3,'LRAI_v1_Scoring'!Q3,'LRAI_v1_Scoring'!W3,'LRAI_v1_Scoring'!X3,'LRAI_v1_Scoring'!Y3)</x:f>
        <x:v>0.3623686389982262</x:v>
      </x:c>
      <x:c r="E3" s="14" t="n">
        <x:f>1+COUNTIF($D$2:$D$10,"&gt;"&amp;D3)</x:f>
        <x:v>7</x:v>
      </x:c>
      <x:c r="F3" s="24" t="n">
        <x:f>AVERAGE((RANK.EQ('LRAI_v1_Scoring'!O3,'LRAI_v1_Scoring'!$O$2:$O$10,1)-1)/8,(RANK.EQ('LRAI_v1_Scoring'!P3,'LRAI_v1_Scoring'!$P$2:$P$10,1)-1)/8,(RANK.EQ('LRAI_v1_Scoring'!Q3,'LRAI_v1_Scoring'!$Q$2:$Q$10,1)-1)/8,(RANK.EQ('LRAI_v1_Scoring'!W3,'LRAI_v1_Scoring'!$W$2:$W$10,1)-1)/8,(RANK.EQ('LRAI_v1_Scoring'!X3,'LRAI_v1_Scoring'!$X$2:$X$10,1)-1)/8,(RANK.EQ('LRAI_v1_Scoring'!Y3,'LRAI_v1_Scoring'!$Y$2:$Y$10,1)-1)/8)</x:f>
        <x:v>0.375</x:v>
      </x:c>
      <x:c r="G3" s="24" t="n">
        <x:v>1</x:v>
      </x:c>
      <x:c r="H3" s="24" t="n">
        <x:v>0.5</x:v>
      </x:c>
      <x:c r="I3" s="24" t="n">
        <x:v>1</x:v>
      </x:c>
      <x:c r="J3" s="24" t="n">
        <x:v>1</x:v>
      </x:c>
      <x:c r="K3" s="24" t="n">
        <x:f>AVERAGE(G3:J3)</x:f>
        <x:v>0.875</x:v>
      </x:c>
      <x:c r="L3" s="14" t="n">
        <x:f>1+COUNTIF($K$2:$K$10,"&gt;"&amp;K3)</x:f>
        <x:v>7</x:v>
      </x:c>
      <x:c r="M3" s="24" t="n">
        <x:f>'LRAI_v1_Scoring'!AA3</x:f>
        <x:v>0.453458833427051</x:v>
      </x:c>
      <x:c r="N3" s="14" t="n">
        <x:f>1+COUNTIF($M$2:$M$10,"&gt;"&amp;M3)</x:f>
        <x:v>5</x:v>
      </x:c>
      <x:c r="O3" s="14" t="n">
        <x:f>ABS(E3-N3)</x:f>
        <x:v>2</x:v>
      </x:c>
      <x:c r="P3" s="14" t="str">
        <x:f>IF(O3&lt;=3,"FREEZE CANDIDATE","REVIEW")</x:f>
        <x:v>FREEZE CANDIDATE</x:v>
      </x:c>
      <x:c r="Q3" s="14" t="str">
        <x:v>LRAI6 measures resource availability; SCSI is retained separately as script-mediated computational accessibility.</x:v>
      </x:c>
      <x:c r="R3" s="14"/>
      <x:c r="S3" s="14" t="str">
        <x:v>Max rank shift LRAI6 vs LRAI7</x:v>
      </x:c>
      <x:c r="T3" s="24" t="n">
        <x:f>MAX(O2:O10)</x:f>
        <x:v>3</x:v>
      </x:c>
      <x:c r="U3" s="14" t="n">
        <x:f>1+COUNTIF($F$2:$F$10,"&gt;"&amp;F3)</x:f>
        <x:v>5</x:v>
      </x:c>
    </x:row>
    <x:row r="4">
      <x:c r="A4" s="14" t="str">
        <x:f>'LRAI_v1_Scoring'!A4</x:f>
        <x:v>Bodo</x:v>
      </x:c>
      <x:c r="B4" s="14" t="str">
        <x:f>'LRAI_v1_Scoring'!B4</x:f>
        <x:v>BOD</x:v>
      </x:c>
      <x:c r="C4" s="14" t="str">
        <x:f>'LRAI_v1_Scoring'!C4</x:f>
        <x:v>Devanagari</x:v>
      </x:c>
      <x:c r="D4" s="24" t="n">
        <x:f>AVERAGE('LRAI_v1_Scoring'!O4,'LRAI_v1_Scoring'!P4,'LRAI_v1_Scoring'!Q4,'LRAI_v1_Scoring'!W4,'LRAI_v1_Scoring'!X4,'LRAI_v1_Scoring'!Y4)</x:f>
        <x:v>0.2587284024408792</x:v>
      </x:c>
      <x:c r="E4" s="14" t="n">
        <x:f>1+COUNTIF($D$2:$D$10,"&gt;"&amp;D4)</x:f>
        <x:v>8</x:v>
      </x:c>
      <x:c r="F4" s="24" t="n">
        <x:f>AVERAGE((RANK.EQ('LRAI_v1_Scoring'!O4,'LRAI_v1_Scoring'!$O$2:$O$10,1)-1)/8,(RANK.EQ('LRAI_v1_Scoring'!P4,'LRAI_v1_Scoring'!$P$2:$P$10,1)-1)/8,(RANK.EQ('LRAI_v1_Scoring'!Q4,'LRAI_v1_Scoring'!$Q$2:$Q$10,1)-1)/8,(RANK.EQ('LRAI_v1_Scoring'!W4,'LRAI_v1_Scoring'!$W$2:$W$10,1)-1)/8,(RANK.EQ('LRAI_v1_Scoring'!X4,'LRAI_v1_Scoring'!$X$2:$X$10,1)-1)/8,(RANK.EQ('LRAI_v1_Scoring'!Y4,'LRAI_v1_Scoring'!$Y$2:$Y$10,1)-1)/8)</x:f>
        <x:v>0.375</x:v>
      </x:c>
      <x:c r="G4" s="24" t="n">
        <x:v>1</x:v>
      </x:c>
      <x:c r="H4" s="24" t="n">
        <x:v>1</x:v>
      </x:c>
      <x:c r="I4" s="24" t="n">
        <x:v>1</x:v>
      </x:c>
      <x:c r="J4" s="24" t="n">
        <x:v>1</x:v>
      </x:c>
      <x:c r="K4" s="24" t="n">
        <x:f>AVERAGE(G4:J4)</x:f>
        <x:v>1</x:v>
      </x:c>
      <x:c r="L4" s="14" t="n">
        <x:f>1+COUNTIF($K$2:$K$10,"&gt;"&amp;K4)</x:f>
        <x:v>1</x:v>
      </x:c>
      <x:c r="M4" s="24" t="n">
        <x:f>'LRAI_v1_Scoring'!AA4</x:f>
        <x:v>0.2931957735207536</x:v>
      </x:c>
      <x:c r="N4" s="14" t="n">
        <x:f>1+COUNTIF($M$2:$M$10,"&gt;"&amp;M4)</x:f>
        <x:v>8</x:v>
      </x:c>
      <x:c r="O4" s="14" t="n">
        <x:f>ABS(E4-N4)</x:f>
        <x:v>0</x:v>
      </x:c>
      <x:c r="P4" s="14" t="str">
        <x:f>IF(O4&lt;=3,"FREEZE CANDIDATE","REVIEW")</x:f>
        <x:v>FREEZE CANDIDATE</x:v>
      </x:c>
      <x:c r="Q4" s="14" t="str">
        <x:v>LRAI6 measures resource availability; SCSI is retained separately as script-mediated computational accessibility.</x:v>
      </x:c>
      <x:c r="R4" s="14"/>
      <x:c r="S4" s="14" t="str">
        <x:v>Spearman equal-weight LRAI6 vs rank-based LRAI6</x:v>
      </x:c>
      <x:c r="T4" s="24" t="n">
        <x:f>CORREL(E2:E10,U2:U10)</x:f>
        <x:v>0.8964214570007952</x:v>
      </x:c>
      <x:c r="U4" s="14" t="n">
        <x:f>1+COUNTIF($F$2:$F$10,"&gt;"&amp;F4)</x:f>
        <x:v>5</x:v>
      </x:c>
    </x:row>
    <x:row r="5">
      <x:c r="A5" s="14" t="str">
        <x:f>'LRAI_v1_Scoring'!A5</x:f>
        <x:v>Dogri</x:v>
      </x:c>
      <x:c r="B5" s="14" t="str">
        <x:f>'LRAI_v1_Scoring'!B5</x:f>
        <x:v>DOI</x:v>
      </x:c>
      <x:c r="C5" s="14" t="str">
        <x:f>'LRAI_v1_Scoring'!C5</x:f>
        <x:v>Devanagari</x:v>
      </x:c>
      <x:c r="D5" s="24" t="n">
        <x:f>AVERAGE('LRAI_v1_Scoring'!O5,'LRAI_v1_Scoring'!P5,'LRAI_v1_Scoring'!Q5,'LRAI_v1_Scoring'!W5,'LRAI_v1_Scoring'!X5,'LRAI_v1_Scoring'!Y5)</x:f>
        <x:v>0.14545693012836217</x:v>
      </x:c>
      <x:c r="E5" s="14" t="n">
        <x:f>1+COUNTIF($D$2:$D$10,"&gt;"&amp;D5)</x:f>
        <x:v>9</x:v>
      </x:c>
      <x:c r="F5" s="24" t="n">
        <x:f>AVERAGE((RANK.EQ('LRAI_v1_Scoring'!O5,'LRAI_v1_Scoring'!$O$2:$O$10,1)-1)/8,(RANK.EQ('LRAI_v1_Scoring'!P5,'LRAI_v1_Scoring'!$P$2:$P$10,1)-1)/8,(RANK.EQ('LRAI_v1_Scoring'!Q5,'LRAI_v1_Scoring'!$Q$2:$Q$10,1)-1)/8,(RANK.EQ('LRAI_v1_Scoring'!W5,'LRAI_v1_Scoring'!$W$2:$W$10,1)-1)/8,(RANK.EQ('LRAI_v1_Scoring'!X5,'LRAI_v1_Scoring'!$X$2:$X$10,1)-1)/8,(RANK.EQ('LRAI_v1_Scoring'!Y5,'LRAI_v1_Scoring'!$Y$2:$Y$10,1)-1)/8)</x:f>
        <x:v>0.14583333333333334</x:v>
      </x:c>
      <x:c r="G5" s="24" t="n">
        <x:v>1</x:v>
      </x:c>
      <x:c r="H5" s="24" t="n">
        <x:v>1</x:v>
      </x:c>
      <x:c r="I5" s="24" t="n">
        <x:v>1</x:v>
      </x:c>
      <x:c r="J5" s="24" t="n">
        <x:v>1</x:v>
      </x:c>
      <x:c r="K5" s="24" t="n">
        <x:f>AVERAGE(G5:J5)</x:f>
        <x:v>1</x:v>
      </x:c>
      <x:c r="L5" s="14" t="n">
        <x:f>1+COUNTIF($K$2:$K$10,"&gt;"&amp;K5)</x:f>
        <x:v>1</x:v>
      </x:c>
      <x:c r="M5" s="24" t="n">
        <x:f>'LRAI_v1_Scoring'!AA5</x:f>
        <x:v>0.19610594011002472</x:v>
      </x:c>
      <x:c r="N5" s="14" t="n">
        <x:f>1+COUNTIF($M$2:$M$10,"&gt;"&amp;M5)</x:f>
        <x:v>9</x:v>
      </x:c>
      <x:c r="O5" s="14" t="n">
        <x:f>ABS(E5-N5)</x:f>
        <x:v>0</x:v>
      </x:c>
      <x:c r="P5" s="14" t="str">
        <x:f>IF(O5&lt;=3,"FREEZE CANDIDATE","REVIEW")</x:f>
        <x:v>FREEZE CANDIDATE</x:v>
      </x:c>
      <x:c r="Q5" s="14" t="str">
        <x:v>LRAI6 measures resource availability; SCSI is retained separately as script-mediated computational accessibility.</x:v>
      </x:c>
      <x:c r="R5" s="14"/>
      <x:c r="S5" s="14" t="str">
        <x:v>Languages requiring review</x:v>
      </x:c>
      <x:c r="T5" s="24" t="n">
        <x:f>COUNTIF(P2:P10,"REVIEW")</x:f>
        <x:v>0</x:v>
      </x:c>
      <x:c r="U5" s="14" t="n">
        <x:f>1+COUNTIF($F$2:$F$10,"&gt;"&amp;F5)</x:f>
        <x:v>9</x:v>
      </x:c>
    </x:row>
    <x:row r="6">
      <x:c r="A6" s="14" t="str">
        <x:f>'LRAI_v1_Scoring'!A6</x:f>
        <x:v>Konkani</x:v>
      </x:c>
      <x:c r="B6" s="14" t="str">
        <x:f>'LRAI_v1_Scoring'!B6</x:f>
        <x:v>KON</x:v>
      </x:c>
      <x:c r="C6" s="14" t="str">
        <x:f>'LRAI_v1_Scoring'!C6</x:f>
        <x:v>Devanagari</x:v>
      </x:c>
      <x:c r="D6" s="24" t="n">
        <x:f>AVERAGE('LRAI_v1_Scoring'!O6,'LRAI_v1_Scoring'!P6,'LRAI_v1_Scoring'!Q6,'LRAI_v1_Scoring'!W6,'LRAI_v1_Scoring'!X6,'LRAI_v1_Scoring'!Y6)</x:f>
        <x:v>0.41228957969377283</x:v>
      </x:c>
      <x:c r="E6" s="14" t="n">
        <x:f>1+COUNTIF($D$2:$D$10,"&gt;"&amp;D6)</x:f>
        <x:v>5</x:v>
      </x:c>
      <x:c r="F6" s="24" t="n">
        <x:f>AVERAGE((RANK.EQ('LRAI_v1_Scoring'!O6,'LRAI_v1_Scoring'!$O$2:$O$10,1)-1)/8,(RANK.EQ('LRAI_v1_Scoring'!P6,'LRAI_v1_Scoring'!$P$2:$P$10,1)-1)/8,(RANK.EQ('LRAI_v1_Scoring'!Q6,'LRAI_v1_Scoring'!$Q$2:$Q$10,1)-1)/8,(RANK.EQ('LRAI_v1_Scoring'!W6,'LRAI_v1_Scoring'!$W$2:$W$10,1)-1)/8,(RANK.EQ('LRAI_v1_Scoring'!X6,'LRAI_v1_Scoring'!$X$2:$X$10,1)-1)/8,(RANK.EQ('LRAI_v1_Scoring'!Y6,'LRAI_v1_Scoring'!$Y$2:$Y$10,1)-1)/8)</x:f>
        <x:v>0.375</x:v>
      </x:c>
      <x:c r="G6" s="24" t="n">
        <x:v>1</x:v>
      </x:c>
      <x:c r="H6" s="24" t="n">
        <x:v>1</x:v>
      </x:c>
      <x:c r="I6" s="24" t="n">
        <x:v>1</x:v>
      </x:c>
      <x:c r="J6" s="24" t="n">
        <x:v>1</x:v>
      </x:c>
      <x:c r="K6" s="24" t="n">
        <x:f>AVERAGE(G6:J6)</x:f>
        <x:v>1</x:v>
      </x:c>
      <x:c r="L6" s="14" t="n">
        <x:f>1+COUNTIF($K$2:$K$10,"&gt;"&amp;K6)</x:f>
        <x:v>1</x:v>
      </x:c>
      <x:c r="M6" s="24" t="n">
        <x:f>'LRAI_v1_Scoring'!AA6</x:f>
        <x:v>0.42481963973751957</x:v>
      </x:c>
      <x:c r="N6" s="14" t="n">
        <x:f>1+COUNTIF($M$2:$M$10,"&gt;"&amp;M6)</x:f>
        <x:v>6</x:v>
      </x:c>
      <x:c r="O6" s="14" t="n">
        <x:f>ABS(E6-N6)</x:f>
        <x:v>1</x:v>
      </x:c>
      <x:c r="P6" s="14" t="str">
        <x:f>IF(O6&lt;=3,"FREEZE CANDIDATE","REVIEW")</x:f>
        <x:v>FREEZE CANDIDATE</x:v>
      </x:c>
      <x:c r="Q6" s="14" t="str">
        <x:v>LRAI6 measures resource availability; SCSI is retained separately as script-mediated computational accessibility.</x:v>
      </x:c>
      <x:c r="R6" s="14"/>
      <x:c r="S6" s="14" t="str">
        <x:v>LRAI6 status</x:v>
      </x:c>
      <x:c r="T6" s="24" t="str">
        <x:f>IF(AND(T2&gt;=0.75,T3&lt;=3,T4&gt;=0.75,T5=0),"FREEZE-READY","REVIEW REQUIRED")</x:f>
        <x:v>FREEZE-READY</x:v>
      </x:c>
      <x:c r="U6" s="14" t="n">
        <x:f>1+COUNTIF($F$2:$F$10,"&gt;"&amp;F6)</x:f>
        <x:v>5</x:v>
      </x:c>
    </x:row>
    <x:row r="7">
      <x:c r="A7" s="14" t="str">
        <x:f>'LRAI_v1_Scoring'!A7</x:f>
        <x:v>Kashmiri</x:v>
      </x:c>
      <x:c r="B7" s="14" t="str">
        <x:f>'LRAI_v1_Scoring'!B7</x:f>
        <x:v>KAS</x:v>
      </x:c>
      <x:c r="C7" s="14" t="str">
        <x:f>'LRAI_v1_Scoring'!C7</x:f>
        <x:v>Perso-Arabic</x:v>
      </x:c>
      <x:c r="D7" s="24" t="n">
        <x:f>AVERAGE('LRAI_v1_Scoring'!O7,'LRAI_v1_Scoring'!P7,'LRAI_v1_Scoring'!Q7,'LRAI_v1_Scoring'!W7,'LRAI_v1_Scoring'!X7,'LRAI_v1_Scoring'!Y7)</x:f>
        <x:v>0.3972728651424304</x:v>
      </x:c>
      <x:c r="E7" s="14" t="n">
        <x:f>1+COUNTIF($D$2:$D$10,"&gt;"&amp;D7)</x:f>
        <x:v>6</x:v>
      </x:c>
      <x:c r="F7" s="24" t="n">
        <x:f>AVERAGE((RANK.EQ('LRAI_v1_Scoring'!O7,'LRAI_v1_Scoring'!$O$2:$O$10,1)-1)/8,(RANK.EQ('LRAI_v1_Scoring'!P7,'LRAI_v1_Scoring'!$P$2:$P$10,1)-1)/8,(RANK.EQ('LRAI_v1_Scoring'!Q7,'LRAI_v1_Scoring'!$Q$2:$Q$10,1)-1)/8,(RANK.EQ('LRAI_v1_Scoring'!W7,'LRAI_v1_Scoring'!$W$2:$W$10,1)-1)/8,(RANK.EQ('LRAI_v1_Scoring'!X7,'LRAI_v1_Scoring'!$X$2:$X$10,1)-1)/8,(RANK.EQ('LRAI_v1_Scoring'!Y7,'LRAI_v1_Scoring'!$Y$2:$Y$10,1)-1)/8)</x:f>
        <x:v>0.375</x:v>
      </x:c>
      <x:c r="G7" s="24" t="n">
        <x:v>1</x:v>
      </x:c>
      <x:c r="H7" s="24" t="n">
        <x:v>0.75</x:v>
      </x:c>
      <x:c r="I7" s="24" t="n">
        <x:v>1</x:v>
      </x:c>
      <x:c r="J7" s="24" t="n">
        <x:v>0.75</x:v>
      </x:c>
      <x:c r="K7" s="24" t="n">
        <x:f>AVERAGE(G7:J7)</x:f>
        <x:v>0.875</x:v>
      </x:c>
      <x:c r="L7" s="14" t="n">
        <x:f>1+COUNTIF($K$2:$K$10,"&gt;"&amp;K7)</x:f>
        <x:v>7</x:v>
      </x:c>
      <x:c r="M7" s="24" t="n">
        <x:f>'LRAI_v1_Scoring'!AA7</x:f>
        <x:v>0.4833767415506546</x:v>
      </x:c>
      <x:c r="N7" s="14" t="n">
        <x:f>1+COUNTIF($M$2:$M$10,"&gt;"&amp;M7)</x:f>
        <x:v>4</x:v>
      </x:c>
      <x:c r="O7" s="14" t="n">
        <x:f>ABS(E7-N7)</x:f>
        <x:v>2</x:v>
      </x:c>
      <x:c r="P7" s="14" t="str">
        <x:f>IF(O7&lt;=3,"FREEZE CANDIDATE","REVIEW")</x:f>
        <x:v>FREEZE CANDIDATE</x:v>
      </x:c>
      <x:c r="Q7" s="14" t="str">
        <x:v>LRAI6 measures resource availability; SCSI is retained separately as script-mediated computational accessibility.</x:v>
      </x:c>
      <x:c r="R7" s="14"/>
      <x:c r="S7" s="14" t="str">
        <x:v>SCSI status</x:v>
      </x:c>
      <x:c r="T7" s="24" t="str">
        <x:v>Separate explanatory/sensitivity variable</x:v>
      </x:c>
      <x:c r="U7" s="14" t="n">
        <x:f>1+COUNTIF($F$2:$F$10,"&gt;"&amp;F7)</x:f>
        <x:v>5</x:v>
      </x:c>
    </x:row>
    <x:row r="8">
      <x:c r="A8" s="14" t="str">
        <x:f>'LRAI_v1_Scoring'!A8</x:f>
        <x:v>Maithili</x:v>
      </x:c>
      <x:c r="B8" s="14" t="str">
        <x:f>'LRAI_v1_Scoring'!B8</x:f>
        <x:v>MAI</x:v>
      </x:c>
      <x:c r="C8" s="14" t="str">
        <x:f>'LRAI_v1_Scoring'!C8</x:f>
        <x:v>Devanagari</x:v>
      </x:c>
      <x:c r="D8" s="24" t="n">
        <x:f>AVERAGE('LRAI_v1_Scoring'!O8,'LRAI_v1_Scoring'!P8,'LRAI_v1_Scoring'!Q8,'LRAI_v1_Scoring'!W8,'LRAI_v1_Scoring'!X8,'LRAI_v1_Scoring'!Y8)</x:f>
        <x:v>0.7032035683673493</x:v>
      </x:c>
      <x:c r="E8" s="14" t="n">
        <x:f>1+COUNTIF($D$2:$D$10,"&gt;"&amp;D8)</x:f>
        <x:v>2</x:v>
      </x:c>
      <x:c r="F8" s="24" t="n">
        <x:f>AVERAGE((RANK.EQ('LRAI_v1_Scoring'!O8,'LRAI_v1_Scoring'!$O$2:$O$10,1)-1)/8,(RANK.EQ('LRAI_v1_Scoring'!P8,'LRAI_v1_Scoring'!$P$2:$P$10,1)-1)/8,(RANK.EQ('LRAI_v1_Scoring'!Q8,'LRAI_v1_Scoring'!$Q$2:$Q$10,1)-1)/8,(RANK.EQ('LRAI_v1_Scoring'!W8,'LRAI_v1_Scoring'!$W$2:$W$10,1)-1)/8,(RANK.EQ('LRAI_v1_Scoring'!X8,'LRAI_v1_Scoring'!$X$2:$X$10,1)-1)/8,(RANK.EQ('LRAI_v1_Scoring'!Y8,'LRAI_v1_Scoring'!$Y$2:$Y$10,1)-1)/8)</x:f>
        <x:v>0.6666666666666666</x:v>
      </x:c>
      <x:c r="G8" s="24" t="n">
        <x:v>1</x:v>
      </x:c>
      <x:c r="H8" s="24" t="n">
        <x:v>1</x:v>
      </x:c>
      <x:c r="I8" s="24" t="n">
        <x:v>1</x:v>
      </x:c>
      <x:c r="J8" s="24" t="n">
        <x:v>1</x:v>
      </x:c>
      <x:c r="K8" s="24" t="n">
        <x:f>AVERAGE(G8:J8)</x:f>
        <x:v>1</x:v>
      </x:c>
      <x:c r="L8" s="14" t="n">
        <x:f>1+COUNTIF($K$2:$K$10,"&gt;"&amp;K8)</x:f>
        <x:v>1</x:v>
      </x:c>
      <x:c r="M8" s="24" t="n">
        <x:f>'LRAI_v1_Scoring'!AA8</x:f>
        <x:v>0.6741744871720137</x:v>
      </x:c>
      <x:c r="N8" s="14" t="n">
        <x:f>1+COUNTIF($M$2:$M$10,"&gt;"&amp;M8)</x:f>
        <x:v>3</x:v>
      </x:c>
      <x:c r="O8" s="14" t="n">
        <x:f>ABS(E8-N8)</x:f>
        <x:v>1</x:v>
      </x:c>
      <x:c r="P8" s="14" t="str">
        <x:f>IF(O8&lt;=3,"FREEZE CANDIDATE","REVIEW")</x:f>
        <x:v>FREEZE CANDIDATE</x:v>
      </x:c>
      <x:c r="Q8" s="14" t="str">
        <x:v>LRAI6 measures resource availability; SCSI is retained separately as script-mediated computational accessibility.</x:v>
      </x:c>
      <x:c r="R8" s="14"/>
      <x:c r="S8" s="14" t="str">
        <x:v>Primary LRAI specification</x:v>
      </x:c>
      <x:c r="T8" s="24" t="str">
        <x:v>Six equal-weight normalized resource components</x:v>
      </x:c>
      <x:c r="U8" s="14" t="n">
        <x:f>1+COUNTIF($F$2:$F$10,"&gt;"&amp;F8)</x:f>
        <x:v>1</x:v>
      </x:c>
    </x:row>
    <x:row r="9">
      <x:c r="A9" s="14" t="str">
        <x:f>'LRAI_v1_Scoring'!A9</x:f>
        <x:v>Meitei (Manipuri)</x:v>
      </x:c>
      <x:c r="B9" s="14" t="str">
        <x:f>'LRAI_v1_Scoring'!B9</x:f>
        <x:v>MNI</x:v>
      </x:c>
      <x:c r="C9" s="14" t="str">
        <x:f>'LRAI_v1_Scoring'!C9</x:f>
        <x:v>Meitei Mayek</x:v>
      </x:c>
      <x:c r="D9" s="24" t="n">
        <x:f>AVERAGE('LRAI_v1_Scoring'!O9,'LRAI_v1_Scoring'!P9,'LRAI_v1_Scoring'!Q9,'LRAI_v1_Scoring'!W9,'LRAI_v1_Scoring'!X9,'LRAI_v1_Scoring'!Y9)</x:f>
        <x:v>0.6404935619645794</x:v>
      </x:c>
      <x:c r="E9" s="14" t="n">
        <x:f>1+COUNTIF($D$2:$D$10,"&gt;"&amp;D9)</x:f>
        <x:v>3</x:v>
      </x:c>
      <x:c r="F9" s="24" t="n">
        <x:f>AVERAGE((RANK.EQ('LRAI_v1_Scoring'!O9,'LRAI_v1_Scoring'!$O$2:$O$10,1)-1)/8,(RANK.EQ('LRAI_v1_Scoring'!P9,'LRAI_v1_Scoring'!$P$2:$P$10,1)-1)/8,(RANK.EQ('LRAI_v1_Scoring'!Q9,'LRAI_v1_Scoring'!$Q$2:$Q$10,1)-1)/8,(RANK.EQ('LRAI_v1_Scoring'!W9,'LRAI_v1_Scoring'!$W$2:$W$10,1)-1)/8,(RANK.EQ('LRAI_v1_Scoring'!X9,'LRAI_v1_Scoring'!$X$2:$X$10,1)-1)/8,(RANK.EQ('LRAI_v1_Scoring'!Y9,'LRAI_v1_Scoring'!$Y$2:$Y$10,1)-1)/8)</x:f>
        <x:v>0.5</x:v>
      </x:c>
      <x:c r="G9" s="24" t="n">
        <x:v>1</x:v>
      </x:c>
      <x:c r="H9" s="24" t="n">
        <x:v>0.5</x:v>
      </x:c>
      <x:c r="I9" s="24" t="n">
        <x:v>1</x:v>
      </x:c>
      <x:c r="J9" s="24" t="n">
        <x:v>1</x:v>
      </x:c>
      <x:c r="K9" s="24" t="n">
        <x:f>AVERAGE(G9:J9)</x:f>
        <x:v>0.875</x:v>
      </x:c>
      <x:c r="L9" s="14" t="n">
        <x:f>1+COUNTIF($K$2:$K$10,"&gt;"&amp;K9)</x:f>
        <x:v>7</x:v>
      </x:c>
      <x:c r="M9" s="24" t="n">
        <x:f>'LRAI_v1_Scoring'!AA9</x:f>
        <x:v>0.6918516245410681</x:v>
      </x:c>
      <x:c r="N9" s="14" t="n">
        <x:f>1+COUNTIF($M$2:$M$10,"&gt;"&amp;M9)</x:f>
        <x:v>1</x:v>
      </x:c>
      <x:c r="O9" s="14" t="n">
        <x:f>ABS(E9-N9)</x:f>
        <x:v>2</x:v>
      </x:c>
      <x:c r="P9" s="14" t="str">
        <x:f>IF(O9&lt;=3,"FREEZE CANDIDATE","REVIEW")</x:f>
        <x:v>FREEZE CANDIDATE</x:v>
      </x:c>
      <x:c r="Q9" s="14" t="str">
        <x:v>LRAI6 measures resource availability; SCSI is retained separately as script-mediated computational accessibility.</x:v>
      </x:c>
      <x:c r="R9" s="14"/>
      <x:c r="S9" s="14" t="str">
        <x:v>Script treatment</x:v>
      </x:c>
      <x:c r="T9" s="24" t="str">
        <x:v>Excluded from LRAI6; modeled separately via SCSI</x:v>
      </x:c>
      <x:c r="U9" s="14" t="n">
        <x:f>1+COUNTIF($F$2:$F$10,"&gt;"&amp;F9)</x:f>
        <x:v>3</x:v>
      </x:c>
    </x:row>
    <x:row r="10">
      <x:c r="A10" s="14" t="str">
        <x:f>'LRAI_v1_Scoring'!A10</x:f>
        <x:v>Sindhi</x:v>
      </x:c>
      <x:c r="B10" s="14" t="str">
        <x:f>'LRAI_v1_Scoring'!B10</x:f>
        <x:v>SND</x:v>
      </x:c>
      <x:c r="C10" s="14" t="str">
        <x:f>'LRAI_v1_Scoring'!C10</x:f>
        <x:v>Perso-Arabic</x:v>
      </x:c>
      <x:c r="D10" s="24" t="n">
        <x:f>AVERAGE('LRAI_v1_Scoring'!O10,'LRAI_v1_Scoring'!P10,'LRAI_v1_Scoring'!Q10,'LRAI_v1_Scoring'!W10,'LRAI_v1_Scoring'!X10,'LRAI_v1_Scoring'!Y10)</x:f>
        <x:v>0.4867298081895001</x:v>
      </x:c>
      <x:c r="E10" s="14" t="n">
        <x:f>1+COUNTIF($D$2:$D$10,"&gt;"&amp;D10)</x:f>
        <x:v>4</x:v>
      </x:c>
      <x:c r="F10" s="24" t="n">
        <x:f>AVERAGE((RANK.EQ('LRAI_v1_Scoring'!O10,'LRAI_v1_Scoring'!$O$2:$O$10,1)-1)/8,(RANK.EQ('LRAI_v1_Scoring'!P10,'LRAI_v1_Scoring'!$P$2:$P$10,1)-1)/8,(RANK.EQ('LRAI_v1_Scoring'!Q10,'LRAI_v1_Scoring'!$Q$2:$Q$10,1)-1)/8,(RANK.EQ('LRAI_v1_Scoring'!W10,'LRAI_v1_Scoring'!$W$2:$W$10,1)-1)/8,(RANK.EQ('LRAI_v1_Scoring'!X10,'LRAI_v1_Scoring'!$X$2:$X$10,1)-1)/8,(RANK.EQ('LRAI_v1_Scoring'!Y10,'LRAI_v1_Scoring'!$Y$2:$Y$10,1)-1)/8)</x:f>
        <x:v>0.4583333333333333</x:v>
      </x:c>
      <x:c r="G10" s="24" t="n">
        <x:v>1</x:v>
      </x:c>
      <x:c r="H10" s="24" t="n">
        <x:v>0.75</x:v>
      </x:c>
      <x:c r="I10" s="24" t="n">
        <x:v>1</x:v>
      </x:c>
      <x:c r="J10" s="24" t="n">
        <x:v>1</x:v>
      </x:c>
      <x:c r="K10" s="24" t="n">
        <x:f>AVERAGE(G10:J10)</x:f>
        <x:v>0.9375</x:v>
      </x:c>
      <x:c r="L10" s="14" t="n">
        <x:f>1+COUNTIF($K$2:$K$10,"&gt;"&amp;K10)</x:f>
        <x:v>6</x:v>
      </x:c>
      <x:c r="M10" s="24" t="n">
        <x:f>'LRAI_v1_Scoring'!AA10</x:f>
        <x:v>0.41719697844814296</x:v>
      </x:c>
      <x:c r="N10" s="14" t="n">
        <x:f>1+COUNTIF($M$2:$M$10,"&gt;"&amp;M10)</x:f>
        <x:v>7</x:v>
      </x:c>
      <x:c r="O10" s="14" t="n">
        <x:f>ABS(E10-N10)</x:f>
        <x:v>3</x:v>
      </x:c>
      <x:c r="P10" s="14" t="str">
        <x:f>IF(O10&lt;=3,"FREEZE CANDIDATE","REVIEW")</x:f>
        <x:v>FREEZE CANDIDATE</x:v>
      </x:c>
      <x:c r="Q10" s="14" t="str">
        <x:v>LRAI6 measures resource availability; SCSI is retained separately as script-mediated computational accessibility.</x:v>
      </x:c>
      <x:c r="R10" s="14"/>
      <x:c r="S10" s="14" t="str">
        <x:v>Sanskrit heritage</x:v>
      </x:c>
      <x:c r="T10" s="24" t="str">
        <x:v>Excluded from both LRAI6 and SCSI</x:v>
      </x:c>
      <x:c r="U10" s="14" t="n">
        <x:f>1+COUNTIF($F$2:$F$10,"&gt;"&amp;F10)</x:f>
        <x:v>4</x:v>
      </x:c>
    </x:row>
    <x:row r="11">
      <x:c r="S11" t="str">
        <x:v>Inference</x:v>
      </x:c>
      <x:c r="T11" t="str">
        <x:v>Association/covariation only; n=9 languages</x:v>
      </x:c>
    </x:row>
    <x:row r="12">
      <x:c r="S12" t="str">
        <x:v>Recommended freeze decision</x:v>
      </x:c>
      <x:c r="T12" t="str">
        <x:f>IF(T6="FREEZE-READY","Freeze LRAI6 as primary resource index; retain SCSI and legacy LRAI7 only for sensitivity analyses.","Do not freeze until review conditions are resolved.")</x:f>
        <x:v>Freeze LRAI6 as primary resource index; retain SCSI and legacy LRAI7 only for sensitivity analyses.</x:v>
      </x:c>
    </x:row>
  </x:sheetData>
  <x:conditionalFormatting sqref="O2:O10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7a9b212955094692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  <x:col min="3" max="3" width="60" hidden="0" customWidth="1"/>
    <x:col min="4" max="4" width="50" hidden="0" customWidth="1"/>
  </x:cols>
  <x:sheetData>
    <x:row r="1">
      <x:c r="A1" s="71" t="str">
        <x:v>SCSI — Script Computational Support Index</x:v>
      </x:c>
      <x:c r="B1" s="71" t="str">
        <x:v>Operationalization</x:v>
      </x:c>
      <x:c r="C1" s="71" t="str">
        <x:v>Evidence anchor</x:v>
      </x:c>
      <x:c r="D1" s="71" t="str">
        <x:v>Paper A treatment</x:v>
      </x:c>
    </x:row>
    <x:row r="2">
      <x:c r="A2" s="14" t="str">
        <x:v>Unicode/input support</x:v>
      </x:c>
      <x:c r="B2" s="14" t="str">
        <x:v>1 if standardized Unicode/input support exists for primary script.</x:v>
      </x:c>
      <x:c r="C2" s="14" t="str">
        <x:v>UNESCO Bhasha Matters 2025/2026</x:v>
      </x:c>
      <x:c r="D2" s="14" t="str">
        <x:v>Separate from resource quantity.</x:v>
      </x:c>
    </x:row>
    <x:row r="3">
      <x:c r="A3" s="14" t="str">
        <x:v>Digital readiness</x:v>
      </x:c>
      <x:c r="B3" s="14" t="str">
        <x:v>High=1.00; Medium-high=0.75; Medium=0.50.</x:v>
      </x:c>
      <x:c r="C3" s="14" t="str">
        <x:v>UNESCO Table 3.4</x:v>
      </x:c>
      <x:c r="D3" s="14" t="str">
        <x:v>Evidence-derived ordinal-to-continuous sensitivity coding.</x:v>
      </x:c>
    </x:row>
    <x:row r="4">
      <x:c r="A4" s="14" t="str">
        <x:v>Primary-script resource evidence</x:v>
      </x:c>
      <x:c r="B4" s="14" t="str">
        <x:v>1 if direct corpus/parallel/annotated resource evidence exists in benchmark primary script.</x:v>
      </x:c>
      <x:c r="C4" s="14" t="str">
        <x:v>Paper A LRAI evidence inventory</x:v>
      </x:c>
      <x:c r="D4" s="14" t="str">
        <x:v>Prevents alternative-script resources being treated as equivalent.</x:v>
      </x:c>
    </x:row>
    <x:row r="5">
      <x:c r="A5" s="14" t="str">
        <x:v>Tokenizer evidence</x:v>
      </x:c>
      <x:c r="B5" s="14" t="str">
        <x:v>1 when primary language/script explicitly covered in current tokenizer studies; 0.75 for strong script-family evidence with thinner language-specific evidence.</x:v>
      </x:c>
      <x:c r="C5" s="14" t="str">
        <x:v>ACL 2026 MUTANT / multilingual tokenization studies</x:v>
      </x:c>
      <x:c r="D5" s="14" t="str">
        <x:v>Captures access efficiency rather than resource volume.</x:v>
      </x:c>
    </x:row>
    <x:row r="6">
      <x:c r="A6" s="14" t="str">
        <x:v>Composite</x:v>
      </x:c>
      <x:c r="B6" s="14" t="str">
        <x:v>Mean of four components.</x:v>
      </x:c>
      <x:c r="C6" s="14" t="str">
        <x:v>Pre-specified in this workbook</x:v>
      </x:c>
      <x:c r="D6" s="14" t="str">
        <x:v>SCSI is not folded into LRAI6.</x:v>
      </x:c>
    </x:row>
    <x:row r="7">
      <x:c r="A7" s="14" t="str">
        <x:v>Why separate?</x:v>
      </x:c>
      <x:c r="B7" s="14" t="str">
        <x:v>Script and tokenization can alter representation efficiency even when resource quantities are held constant.</x:v>
      </x:c>
      <x:c r="C7" s="14" t="str">
        <x:v>ACL 2026 tokenization evidence</x:v>
      </x:c>
      <x:c r="D7" s="14" t="str">
        <x:v>Treat as moderator/sensitivity variable.</x:v>
      </x:c>
    </x:row>
    <x:row r="8">
      <x:c r="A8" s="14" t="str">
        <x:v>Devanagari</x:v>
      </x:c>
      <x:c r="B8" s="14" t="str">
        <x:v>High digital readiness.</x:v>
      </x:c>
      <x:c r="C8" s="14" t="str">
        <x:v>UNESCO</x:v>
      </x:c>
      <x:c r="D8" s="14" t="str">
        <x:v>SAN, BOD, DOI, KON, MAI.</x:v>
      </x:c>
    </x:row>
    <x:row r="9">
      <x:c r="A9" s="14" t="str">
        <x:v>Perso-Arabic</x:v>
      </x:c>
      <x:c r="B9" s="14" t="str">
        <x:v>Medium-high digital readiness; OCR/tokenization challenges remain.</x:v>
      </x:c>
      <x:c r="C9" s="14" t="str">
        <x:v>UNESCO + AbjadNLP 2026</x:v>
      </x:c>
      <x:c r="D9" s="14" t="str">
        <x:v>KAS, SND.</x:v>
      </x:c>
    </x:row>
    <x:row r="10">
      <x:c r="A10" s="14" t="str">
        <x:v>Ol Chiki</x:v>
      </x:c>
      <x:c r="B10" s="14" t="str">
        <x:v>Medium digital readiness; NLP/OCR still early-stage.</x:v>
      </x:c>
      <x:c r="C10" s="14" t="str">
        <x:v>UNESCO</x:v>
      </x:c>
      <x:c r="D10" s="14" t="str">
        <x:v>SAT.</x:v>
      </x:c>
    </x:row>
    <x:row r="11">
      <x:c r="A11" s="14" t="str">
        <x:v>Meitei Mayek</x:v>
      </x:c>
      <x:c r="B11" s="14" t="str">
        <x:v>Medium digital readiness; NLP/OCR emerging.</x:v>
      </x:c>
      <x:c r="C11" s="14" t="str">
        <x:v>UNESCO</x:v>
      </x:c>
      <x:c r="D11" s="14" t="str">
        <x:v>MNI.</x:v>
      </x:c>
    </x:row>
    <x:row r="12">
      <x:c r="A12" s="14" t="str">
        <x:v>Meitei caveat</x:v>
      </x:c>
      <x:c r="B12" s="14" t="str">
        <x:v>Large 2026 MeiteiRoBERTa corpus/model uses Bengali script, not primary Meitei Mayek.</x:v>
      </x:c>
      <x:c r="C12" s="14" t="str">
        <x:v>ACL SIGTYP 2026</x:v>
      </x:c>
      <x:c r="D12" s="14" t="str">
        <x:v>Do not credit this as primary-script resource volume.</x:v>
      </x:c>
    </x:row>
    <x:row r="13">
      <x:c r="A13" s="14" t="str">
        <x:v>Inference caveat</x:v>
      </x:c>
      <x:c r="B13" s="14" t="str">
        <x:v>With nine languages, SCSI should not be entered with many interactions in an overparameterized model.</x:v>
      </x:c>
      <x:c r="C13" s="14" t="str">
        <x:v>Study design</x:v>
      </x:c>
      <x:c r="D13" s="14" t="str">
        <x:v>Prefer descriptive/sensitivity analysis or parsimonious interaction.</x:v>
      </x:c>
    </x:row>
    <x:row r="14">
      <x:c r="A14" s="14" t="str">
        <x:v>Source URLs</x:v>
      </x:c>
      <x:c r="B14" s="14" t="str">
        <x:v>https://www.unesco.org/sites/default/files/medias/fichiers/2026/03/Bhasha%20Matters%20State%20of%20the%20Education%20Report%20of%202025%20on%20Mother%20Tongue%20and%20Multilingual%20Education.pdf ; https://aclanthology.org/2026.acl-long.2146/ ; https://aclanthology.org/2026.findings-acl.1632/ ; https://aclanthology.org/2026.loreslm-1.4/ ; https://aclanthology.org/2026.sigtyp-main.5/</x:v>
      </x:c>
      <x:c r="C14" s="14" t="str"/>
      <x:c r="D14" s="14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71" t="str">
        <x:v>Paper A — LRAI/SCSI Freeze Specification Candidate</x:v>
      </x:c>
      <x:c r="B1" s="71" t="str"/>
    </x:row>
    <x:row r="2">
      <x:c r="A2" s="77" t="str">
        <x:v>Primary explanatory index</x:v>
      </x:c>
      <x:c r="B2" s="14" t="str">
        <x:v>LRAI6: equal-weight mean of six normalized computational-resource components.</x:v>
      </x:c>
    </x:row>
    <x:row r="3">
      <x:c r="A3" s="77" t="str">
        <x:v>LRAI6 components</x:v>
      </x:c>
      <x:c r="B3" s="14" t="str">
        <x:v>Digital textual presence; monolingual corpus availability; primary-script parallel-data availability; annotated-resource availability; benchmark/task coverage; pretrained/model/tool support.</x:v>
      </x:c>
    </x:row>
    <x:row r="4">
      <x:c r="A4" s="77" t="str">
        <x:v>Excluded from LRAI6</x:v>
      </x:c>
      <x:c r="B4" s="14" t="str">
        <x:v>Script support and Sanskrit historical textual heritage.</x:v>
      </x:c>
    </x:row>
    <x:row r="5">
      <x:c r="A5" s="77" t="str">
        <x:v>Script variable</x:v>
      </x:c>
      <x:c r="B5" s="14" t="str">
        <x:v>SCSI: separate Script Computational Support Index.</x:v>
      </x:c>
    </x:row>
    <x:row r="6">
      <x:c r="A6" s="77" t="str">
        <x:v>Primary script rule</x:v>
      </x:c>
      <x:c r="B6" s="14" t="str">
        <x:v>Resource counts must correspond to benchmark primary script wherever script-specific evidence is available.</x:v>
      </x:c>
    </x:row>
    <x:row r="7">
      <x:c r="A7" s="77" t="str">
        <x:v>Normalization</x:v>
      </x:c>
      <x:c r="B7" s="14" t="str">
        <x:v>Log1p + min–max for skewed quantitative counts; component-specific normalized composites as documented in scoring workbook.</x:v>
      </x:c>
    </x:row>
    <x:row r="8">
      <x:c r="A8" s="77" t="str">
        <x:v>Primary weighting</x:v>
      </x:c>
      <x:c r="B8" s="14" t="str">
        <x:v>Equal weights.</x:v>
      </x:c>
    </x:row>
    <x:row r="9">
      <x:c r="A9" s="77" t="str">
        <x:v>Robustness</x:v>
      </x:c>
      <x:c r="B9" s="14" t="str">
        <x:v>Rank-based LRAI6; legacy seven-component LRAI; aggregate-script resource variant; leave-one-component-out.</x:v>
      </x:c>
    </x:row>
    <x:row r="10">
      <x:c r="A10" s="77" t="str">
        <x:v>Statistical use</x:v>
      </x:c>
      <x:c r="B10" s="14" t="str">
        <x:v>Associate frozen LRAI6 with EAS, English-referenced gap and language-retention outcomes.</x:v>
      </x:c>
    </x:row>
    <x:row r="11">
      <x:c r="A11" s="77" t="str">
        <x:v>SCSI use</x:v>
      </x:c>
      <x:c r="B11" s="14" t="str">
        <x:v>Separate descriptive/sensitivity predictor; only parsimonious interaction tests given n=9.</x:v>
      </x:c>
    </x:row>
    <x:row r="12">
      <x:c r="A12" s="77" t="str">
        <x:v>Causal interpretation</x:v>
      </x:c>
      <x:c r="B12" s="14" t="str">
        <x:v>Not permitted. Report covariation/association.</x:v>
      </x:c>
    </x:row>
    <x:row r="13">
      <x:c r="A13" s="77" t="str">
        <x:v>Sanskrit interpretation</x:v>
      </x:c>
      <x:c r="B13" s="14" t="str">
        <x:v>Textual heritage paradox assessed descriptively against modern computational resources and model performance.</x:v>
      </x:c>
    </x:row>
    <x:row r="14">
      <x:c r="A14" s="77" t="str">
        <x:v>Freeze condition</x:v>
      </x:c>
      <x:c r="B14" s="14" t="str">
        <x:v>Linked to computed workbook robustness checks.</x:v>
      </x:c>
    </x:row>
    <x:row r="15">
      <x:c r="A15" s="77" t="str">
        <x:v>Computed status</x:v>
      </x:c>
      <x:c r="B15" s="14" t="str">
        <x:f>'LRAI6_and_SCSI'!T6</x:f>
        <x:v>FREEZE-READY</x:v>
      </x:c>
    </x:row>
    <x:row r="16">
      <x:c r="A16" s="77" t="str">
        <x:v>Next empirical dependency</x:v>
      </x:c>
      <x:c r="B16" s="14" t="str">
        <x:v>Validated benchmark translations and generated/annotated model responses are required before LRAI–performance association analysis.</x:v>
      </x:c>
    </x:row>
  </x:sheetData>
  <x:mergeCells>
    <x:mergeCell ref="A1:B1"/>
  </x:mergeCells>
  <x:pageMargins left="0.7" right="0.7" top="0.75" bottom="0.75" header="0.3" footer="0.3"/>
</x:worksheet>
</file>